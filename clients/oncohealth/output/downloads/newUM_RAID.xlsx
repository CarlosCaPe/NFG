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oncologyanalyticsinc.sharepoint.com/sites/OncoHealth_NewFire/Shared Documents/Project Management/"/>
    </mc:Choice>
  </mc:AlternateContent>
  <xr:revisionPtr revIDLastSave="1022" documentId="11_EC940C6664D167FA5349EE04A96E97124A5BFA29" xr6:coauthVersionLast="47" xr6:coauthVersionMax="47" xr10:uidLastSave="{02F8758D-9A45-456A-AEB6-3F15E4FF760F}"/>
  <bookViews>
    <workbookView xWindow="2040" yWindow="390" windowWidth="26550" windowHeight="14700" xr2:uid="{00000000-000D-0000-FFFF-FFFF00000000}"/>
  </bookViews>
  <sheets>
    <sheet name="RAID Template" sheetId="1" r:id="rId1"/>
    <sheet name="Sign-Offs" sheetId="3" r:id="rId2"/>
    <sheet name="Definitions" sheetId="2" r:id="rId3"/>
  </sheets>
  <definedNames>
    <definedName name="_xlnm._FilterDatabase" localSheetId="0" hidden="1">'RAID Template'!$A$1:$Z$1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0" i="1" l="1"/>
  <c r="G46" i="1"/>
  <c r="G47" i="1"/>
  <c r="G48" i="1"/>
  <c r="G49"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45" i="1"/>
  <c r="G44" i="1"/>
  <c r="G43" i="1"/>
  <c r="G42" i="1"/>
  <c r="G41" i="1"/>
  <c r="G40" i="1"/>
  <c r="G39" i="1"/>
  <c r="G37" i="1"/>
  <c r="G36" i="1"/>
  <c r="G34"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Rachel Collier</author>
  </authors>
  <commentList>
    <comment ref="I1" authorId="0" shapeId="0" xr:uid="{00000000-0006-0000-0000-000001000000}">
      <text>
        <r>
          <rPr>
            <sz val="10"/>
            <color rgb="FF000000"/>
            <rFont val="Arial"/>
            <scheme val="minor"/>
          </rPr>
          <t>What will be done to reduce P or I or both
	-Rachel Collier</t>
        </r>
      </text>
    </comment>
    <comment ref="L1" authorId="1" shapeId="0" xr:uid="{342D8364-67D9-464F-B3C4-B1659509D07E}">
      <text>
        <r>
          <rPr>
            <sz val="10"/>
            <color rgb="FF000000"/>
            <rFont val="Arial"/>
            <scheme val="minor"/>
          </rPr>
          <t>Rachel Collier:
Populate with who entered the item</t>
        </r>
      </text>
    </comment>
  </commentList>
</comments>
</file>

<file path=xl/sharedStrings.xml><?xml version="1.0" encoding="utf-8"?>
<sst xmlns="http://schemas.openxmlformats.org/spreadsheetml/2006/main" count="451" uniqueCount="221">
  <si>
    <t>Item</t>
  </si>
  <si>
    <t>RAID Category</t>
  </si>
  <si>
    <t>Description</t>
  </si>
  <si>
    <t>Risk Owner</t>
  </si>
  <si>
    <t>Probability (P)</t>
  </si>
  <si>
    <t>Impact (I)</t>
  </si>
  <si>
    <t>Risk Score (P x I)</t>
  </si>
  <si>
    <t>Current Status</t>
  </si>
  <si>
    <t>Mitigation Strategy</t>
  </si>
  <si>
    <t>Risk Reponse</t>
  </si>
  <si>
    <t>Date Raised</t>
  </si>
  <si>
    <t>Entered By</t>
  </si>
  <si>
    <t>Key Updates</t>
  </si>
  <si>
    <t>Date Closed</t>
  </si>
  <si>
    <t>Risk</t>
  </si>
  <si>
    <t>Many moving parts and a fast build schedule - could step on each others’ toes</t>
  </si>
  <si>
    <t>Rachel Collier</t>
  </si>
  <si>
    <t xml:space="preserve">Closed </t>
  </si>
  <si>
    <t>Staff teams, establish ceremonies, introduce governance series, open communication Channels</t>
  </si>
  <si>
    <t>Treat/Reduction</t>
  </si>
  <si>
    <t xml:space="preserve">Monitor progress as Phase 2 gets started. Team can raise specific challenges if/when they arise and will be addressed. </t>
  </si>
  <si>
    <t>lack of feedback loop with every user persona:
CRS
Onco clinician
payer
provider (including provider’s admin assistant)
patient
configuration specialist</t>
  </si>
  <si>
    <t>Caitlin Bowler</t>
  </si>
  <si>
    <t>Define/Document UX Review Process</t>
  </si>
  <si>
    <t>3/6: Ux Design Review Process Document created, feedback received, and pending final approval.</t>
  </si>
  <si>
    <t>historical data migration:
historical data too incomplete or messy to reconcile with new schema
clients using the same field for different purposes
difficulty adapting legacy reporting apparatus to new system (not much SDLC)</t>
  </si>
  <si>
    <t>Erik Hjortshoj</t>
  </si>
  <si>
    <t>In Progress</t>
  </si>
  <si>
    <t>Review migration approach/drafted plan</t>
  </si>
  <si>
    <t>3/5: Design docs and migration plan being drafted. Need to determine if documents resolve risk items capatured.   Historical data captured in another risk. Mtg request to update/define risk now with design docs drafted. Tgt w/o 3/2</t>
  </si>
  <si>
    <t>management of config
insufficient testing of business rule combinations
bad management of intersections between rulesets, leading to bad case states</t>
  </si>
  <si>
    <t>Jack Hall</t>
  </si>
  <si>
    <t xml:space="preserve">Review/Approval on document Jack has developed. Reasses item after document gets approved. </t>
  </si>
  <si>
    <t>3/5: Jack has a doc that is being reviewed and if accepted should eliminate 3rd bullet and mitigate 2nd. Break apart. Mtg request to update/define risk now with design docs drafted. Tgt w/o 3/2</t>
  </si>
  <si>
    <t>reused peripheral services
Matis and NewUM interfere with each other
not enough service code gets exercised before cutover</t>
  </si>
  <si>
    <t>Analysis meeting first</t>
  </si>
  <si>
    <t>4/14: To be raised and reviewed with Erik/Team to determine if ARB &amp; Design Docs address this Risk. Tgt next steps by 4/17. Break apart. Mtg request to update/define risk now with design docs drafted. Tgt w/o 3/2</t>
  </si>
  <si>
    <t>Decision</t>
  </si>
  <si>
    <t>Use .NET WebAPI for API Gateway (decision based on feedback from Bogdan Chachun and Neal Ruggles)</t>
  </si>
  <si>
    <t>2/27: Ask Jason to review/feedback. Email sent
3/3 update: Per Jason in email "Yes, .NET WebApi for the API gateway is recommended approach to handle our processes steadily.  Agreed there." Closing Decision status</t>
  </si>
  <si>
    <t>Let OncoHealth handle the TaT service so that it integrates across NewUM, MATIS and SmartUM. Architec</t>
  </si>
  <si>
    <t xml:space="preserve">Related to #20. 2/27: Closing this item, reference item #20 going forward. </t>
  </si>
  <si>
    <t>New account provisioning for OncoHealth will take at least 5 days</t>
  </si>
  <si>
    <t>Determine if Newfire can obtain email &amp; phone 1 week in advance of "start" date to get the request in the queue and remove delays</t>
  </si>
  <si>
    <t>Nearly all accounts are now provisioned for the project. Only a handful of resources are still to join the project and turnaround time has been quick. Closing the Risk 2/17</t>
  </si>
  <si>
    <t>UX Schedule Research Delay</t>
  </si>
  <si>
    <t>Alyssa Gessleman</t>
  </si>
  <si>
    <t>First pass with Alison S. and Nichole C. during the rest of January.</t>
  </si>
  <si>
    <t>Progress made; re-evaluate timeline/impact; 3/3: Resource availability from OH has improved along with end-user accessibility, no longer as risk as originally identified.</t>
  </si>
  <si>
    <t>Use DataDog for logging; OncoHealth considers AppInsights to be deprecated.</t>
  </si>
  <si>
    <t>Confirmed with Erik H. 2/27. Moving to Closed</t>
  </si>
  <si>
    <t xml:space="preserve">DevOps Environment Setup/ IDE </t>
  </si>
  <si>
    <t>Itemize inventory of tools/apps by developer; complete by end of Feb</t>
  </si>
  <si>
    <t>2/27: All members have confirmed access with the exception of Matthew and Olha who's accts just got provisioned this week. They will work to confirm access and if any issues come up they will open a ticket to resolve.</t>
  </si>
  <si>
    <t>Work environments (Account provisoning)</t>
  </si>
  <si>
    <t>Duplicate</t>
  </si>
  <si>
    <t>Do not use Automapper in .NET Entity Framework</t>
  </si>
  <si>
    <t>https://oncologyanalyticsinc-my.sharepoint.com/:w:/r/personal/jhall_oncologyanalytics_com/_layouts/15/Doc.aspx?sourcedoc=%7B447717B2-BE52-4C47-AE81-AD9FCC38A4A6%7D&amp;file=Automapper%20or%20No.docx&amp;action=default&amp;mobileredirect=true&amp;DefaultItemOpen=1&amp;wdOrigin=WAC.WORD.HOME-BUTTON%2CAPPHOME-WEB.FILEBROWSER.RECENT&amp;wdPreviousSession=ebc71ebf-660e-45eb-a477-b52e302885d9&amp;wdPreviousSessionSrc=AppHomeWeb&amp;ct=1769183354671</t>
  </si>
  <si>
    <t>3/17: Per Donato it is not being used and can be closed. Donato checking with team (3/3)</t>
  </si>
  <si>
    <t>Databricks access is delayed another week</t>
  </si>
  <si>
    <t>Vika Nobis</t>
  </si>
  <si>
    <t>Raised in weekly onboarding meeting</t>
  </si>
  <si>
    <t xml:space="preserve">2/18: Confirmed with Vika, this is now closed. 1/28: oh-databricks-ws-test has been signed off by Marc as containing no PHI. Cleanup is in progress, and Databricks access is scheduled for 01/29 or 01/30 
</t>
  </si>
  <si>
    <t>Miro Board access (all project team), limitation to 3 boards</t>
  </si>
  <si>
    <t>team has been asked to stay inside NewUM board</t>
  </si>
  <si>
    <t>2/10: Closing risk. Licnenses have been upgraded, resources should now have access as needed.  1/28: License upgraded, team confirming. Ticket number 0032179</t>
  </si>
  <si>
    <t>Core team experience with core prior auth and utilization management work flows could lead to longer cycles for BRD development and sign-off</t>
  </si>
  <si>
    <t>Opportunity to engage external experts (case schema, workflows and configuration approach)</t>
  </si>
  <si>
    <t>Sandy Gress</t>
  </si>
  <si>
    <t>3/13: Monitor going forward. Does not need review in RAID reviews. 2/27: noted Newfire is tapping one of advisors on schema design to have a few hours to work/review design</t>
  </si>
  <si>
    <t>Item 0 depends on sprint inputs and team capacity; shifts could delay 2/11 Review Package and 2/16 milestone</t>
  </si>
  <si>
    <t>Confirm owners, mid-sprint check-ins, early escalation</t>
  </si>
  <si>
    <t>Team presented the 2/16 milestone during the Sprint demo</t>
  </si>
  <si>
    <t>Delayed stakeholder feedback after 2/11 Review Package may cause rework and schedule compression</t>
  </si>
  <si>
    <t>Studio team to hold design critique with decision makers and document outcomes</t>
  </si>
  <si>
    <t>Feedback and approval provided.</t>
  </si>
  <si>
    <t>Assumption</t>
  </si>
  <si>
    <t>Any Rules Engine will need to make some assumptions about what kinds of rules can be defined and how they execute. The attached doc contains our current knowledge of how this relates to architectural and business needs.</t>
  </si>
  <si>
    <t>Open</t>
  </si>
  <si>
    <t>Rules Engine Edge Cases.docx</t>
  </si>
  <si>
    <t>TAT design evaluation (review/confirmation on go-forward)</t>
  </si>
  <si>
    <t>Develop fully functional reference</t>
  </si>
  <si>
    <t xml:space="preserve">4/7: Per feedback from Donato, knowledge transfer happened and Services team knows what to do. Closing this risk. Action with Neal. 3/11: Confirmed with Neal, Solid progress so far, the team should have access to begin integration by 3/31; the timestamps generated may not be totally accurate but the results will start flowing through.  Related to #7 Decision, keep one.
2/27: Keep. Fully functional reference due by 3/31. Donato/Neal/Matt have been in contact. An implementation call is to be scheduled. </t>
  </si>
  <si>
    <t>Recent spike in issues seen from Letters V2 (per Venky)</t>
  </si>
  <si>
    <t>Align/Confirm on recent spike resolution</t>
  </si>
  <si>
    <t xml:space="preserve">2/20: project team mtg Neal stated spike in issues has trickled off. They had handled majority of the issues as a result of the content migration or content model migration. </t>
  </si>
  <si>
    <t>Dependency on final V1 scope and functional release definitions ahead of PI Planning for Ux sequencing/planning</t>
  </si>
  <si>
    <t>Review functional release draft early in the week; surface gaps and decisions quickly via the Decision Log</t>
  </si>
  <si>
    <t>Roadmap/functional releases received and reviewed; Questions raised and resolved with the Product team. UX/UI team planning and entering tickets.</t>
  </si>
  <si>
    <t>No direction about how much (if any) historical case information needs to be migrated from Matis -&gt; NewUM. This is potentially a huge amount of work which needs to be addressed early in the project</t>
  </si>
  <si>
    <t>The less that has to be migrated the better; balance that with business needs</t>
  </si>
  <si>
    <t>Marc Gale</t>
  </si>
  <si>
    <t>4/2: Update - (Alison) proposal discussed on 3/31. Need additional week as team was focused on NCAQ audit. Will discuss on 4/7. 3/6: draft doc uploaded to SP for review. 2/27: Task to schedule call (Donato) for next week so group can align on scenarios, risks and sequencing. 2/20: discussed in project team mtg. Next step is to identify first client (tgt end of Feb). Then team will need to regroup to determine approach. Will remain In Progress; update can be made after 1st client identified.</t>
  </si>
  <si>
    <t>Newfire data team wasn't aware of the shortcomings of OH's process of masking PHI. This had been noted several times in earlier meetings</t>
  </si>
  <si>
    <t>Assess the work needed and plan for it</t>
  </si>
  <si>
    <t>2/20: discussed in project team mtg. We owe designs that show where we're putting mock interfaces, where we're having to generate test data.</t>
  </si>
  <si>
    <t>Newfire had been working off the wrong diagram for provider schema. This results in rework for them after receiving the correct diagram</t>
  </si>
  <si>
    <t xml:space="preserve">Erik Hjortshoj </t>
  </si>
  <si>
    <t>Marc provided the schema (again) 2/17</t>
  </si>
  <si>
    <t>First testing client and first production client still unknown. Concerns that they may not be the same client.</t>
  </si>
  <si>
    <t xml:space="preserve">Client list being generated by end of Feb. Next steps will include review and decision. Appropriate discussion and planning to take place after decision is made to determine impact.
</t>
  </si>
  <si>
    <t>Keeley Peck</t>
  </si>
  <si>
    <t>2/27: presentation on first Client (Sandy); #1 Geisinger, #2 Highmark Wholecare, #3 HealthPartners. Closing the risk now that identificatio has been made. 
2/20: discussed in project team mtg, target end of Feb to identify 1st client</t>
  </si>
  <si>
    <t>Anterior impact (public API)</t>
  </si>
  <si>
    <t>On Hold</t>
  </si>
  <si>
    <t>Requirements  &amp; Change Request decision</t>
  </si>
  <si>
    <t>4/13: Per Venky, put off conversation until we have R1 released.  4/7: Target follow up week of 4/13. 3/25: per ESC, revisit in April. 3/6: Venky noted team is about 2 weeks away from fully defining all the data elements that we are going to get.  Evaluate when ready, determine if a Risk or a CR that needs to be created. Notes: expose public endpoints for our APIs for case entry and (2) we have to make sure there's the idea of provided-but-not-validated data so the CSR can approve the new case and validate the data provided</t>
  </si>
  <si>
    <t>BAs need to create 60 PRDs for R2 in preparation for the PI planning (2 per day)</t>
  </si>
  <si>
    <t>Initiate Conf Specialist (BAs) role fulfillment earlier than planned. This is now in progress.</t>
  </si>
  <si>
    <t>4/3: 2 of 3 positions open for Tech Product Owner; starting to see candidate pipeline.
3/18: Staffing being reviewed; additional project resources expected to support.</t>
  </si>
  <si>
    <t>Team needs to deliver 60 PRDs for R2 (2 per day). Taking into account results of 1st PI planning (8 for PI), this looks like risk</t>
  </si>
  <si>
    <t>Dependency on item #28</t>
  </si>
  <si>
    <t>Project Team to confirm TAT functions correctly with NewUM. The functionality with SmartUM will be handled outside the Project Team</t>
  </si>
  <si>
    <t>Raised/documented during 2/27 prj mtg.</t>
  </si>
  <si>
    <t>Phase 1 Deliverable Date moved to March 13th</t>
  </si>
  <si>
    <t xml:space="preserve">Use Postgres as an operational database for NewUM. </t>
  </si>
  <si>
    <t>Donato Buccella</t>
  </si>
  <si>
    <t>waiting on exec sign-off; 
https://oncologyanalyticsinc-my.sharepoint.com/:w:/g/personal/jhall_oncologyanalytics_com/IQD0DSuZtNiXSa6uU3iYJNI7AdkBslIlyHhXlHPWDLdb_Pw?e=60ofzr</t>
  </si>
  <si>
    <t xml:space="preserve">Per Salin, 3/23: We should be covered from both Security and DevOps perspectives. Security has no concerns about which service we build, as long as it's hosted in OH approved Azure region. </t>
  </si>
  <si>
    <t>Geisinger selected as first client for NewUM</t>
  </si>
  <si>
    <t>Sandy shared presentation at 2/27 meeting; team moving forward with decision.</t>
  </si>
  <si>
    <t>Issue</t>
  </si>
  <si>
    <t>Product Team needs to review PRDs and provide input for #28. Limited resources</t>
  </si>
  <si>
    <t>Raising at 3/13 meeting</t>
  </si>
  <si>
    <t>Monitor</t>
  </si>
  <si>
    <t>Ann Dye</t>
  </si>
  <si>
    <t xml:space="preserve">3/12- Will discuss in weekly team call. </t>
  </si>
  <si>
    <t>The test automation architecture and technology stack for both API and UI automation, shared on 3/11, does not clearly demonstrate alignment with OncoHealth’s expectations for a simple, maintainable, and supportable framework. OncoHealth is seeking a streamlined approach for API and UI automation that aligns with proven patterns and supports long‑term sustainability, scalability, and ease of adoption across teams.</t>
  </si>
  <si>
    <t>Dimple Patel</t>
  </si>
  <si>
    <t>3/18: Per feedback from Venky, this item is deferred until mid April. A few sprints are needed to  gain feedback. Follow up with next steps after 26.04.14 Sprint</t>
  </si>
  <si>
    <t>Configuration rework will potentially push the schedule out.</t>
  </si>
  <si>
    <t xml:space="preserve">Risk </t>
  </si>
  <si>
    <t>Completing the Happy Path Prototype Review by 4/3 is a challenge and will put other UX/UI work on hold.</t>
  </si>
  <si>
    <t>Parallel work continues</t>
  </si>
  <si>
    <t>4/1: Will review progress on 4/2
4/17: Parallel work has continued and insights/feedback gained from the prototyping happy path effort have been a net positive for the design process.</t>
  </si>
  <si>
    <t>We will have admin pages and funcitonality in NewUM, and where needed we can work with OH to extend any changes needed in Admin app (used for external service management and config)</t>
  </si>
  <si>
    <t>Raised in 3/23 check-in call. In about 4 weeks we should be evaluating the detailed configuration design</t>
  </si>
  <si>
    <t xml:space="preserve">Using a write-only table to store/version Eligibility records may cause performance problems when performing an eligibility search on case intake. </t>
  </si>
  <si>
    <t>Michal Mucha</t>
  </si>
  <si>
    <t xml:space="preserve">Populate the new Eligibility table with synthetic data based on the conditional distributions of key IDs and dates. Use this synthetic data to do performance tests, and adjust partitioning and indexing as needed. If no viable partitioning/indexing solution exists (which is very unlikely), consider creating a separate table for current eligibility records. </t>
  </si>
  <si>
    <t>Service Integration Design: Document Management Service</t>
  </si>
  <si>
    <t>Matthew Emerson</t>
  </si>
  <si>
    <t>https://oncologyanalyticsinc.sharepoint.com/:w:/r/sites/OncoHealth_NewFire/_layouts/15/Doc.aspx?sourcedoc=%7B8B891A0D-0949-4088-A6CD-8ED34088A9A7%7D&amp;file=NewUM%25u00a0Services%20Integration%20Design.docx&amp;action=default&amp;mobileredirect=true</t>
  </si>
  <si>
    <t>4/6/26 decision Option C, see document</t>
  </si>
  <si>
    <t>Service Integration Design:Drugs API</t>
  </si>
  <si>
    <t>Service Integration Design:Eligibility Service</t>
  </si>
  <si>
    <t>4/6/26 decision Option B, see document</t>
  </si>
  <si>
    <t>Service Integration Design:Fax Service</t>
  </si>
  <si>
    <t>Service Integration Design: Job Monitor</t>
  </si>
  <si>
    <t>4/8/26 decision Option C, see document</t>
  </si>
  <si>
    <t>Service Integration Design: Kaleidoscope</t>
  </si>
  <si>
    <t>4/8/26 decision Option B, see document</t>
  </si>
  <si>
    <t>Service Integration Design: Letters V2</t>
  </si>
  <si>
    <t>4/8/26 decision Option A, see document</t>
  </si>
  <si>
    <t>Service Integration Design:Okta</t>
  </si>
  <si>
    <t>Service Integration Design: TAT API &amp; Chronos</t>
  </si>
  <si>
    <t>Service Integration Design: Twilio</t>
  </si>
  <si>
    <t>Unclear understanding of potential changes to Drugs API</t>
  </si>
  <si>
    <t xml:space="preserve">Team to meet to discuss further for planning &amp; alignment. Jason raised during project working team call. </t>
  </si>
  <si>
    <t>Fax intake technical &amp; process approach not yet understood</t>
  </si>
  <si>
    <t xml:space="preserve">Team to meet to discuss further for planning &amp; alignment.Eirk/Jason raised during project working team call. </t>
  </si>
  <si>
    <t>Item/ Deliverable</t>
  </si>
  <si>
    <t>Version/ Artifact Link</t>
  </si>
  <si>
    <t>Approver Name</t>
  </si>
  <si>
    <t>Approval Method</t>
  </si>
  <si>
    <t>Approval Status</t>
  </si>
  <si>
    <t>Date Approved</t>
  </si>
  <si>
    <t>Notes</t>
  </si>
  <si>
    <t xml:space="preserve">Case Intake Flow </t>
  </si>
  <si>
    <t>Screens</t>
  </si>
  <si>
    <t>Case Entry</t>
  </si>
  <si>
    <t>Verbal: call on 3/9</t>
  </si>
  <si>
    <t>Approved</t>
  </si>
  <si>
    <t xml:space="preserve">User_Testing_Log </t>
  </si>
  <si>
    <t>For risks specifically, follow this 1-5 scoring system for Probability and Impact:</t>
  </si>
  <si>
    <t>Probability (P): How likely is the risk to occur?</t>
  </si>
  <si>
    <t>Score</t>
  </si>
  <si>
    <t>Rating</t>
  </si>
  <si>
    <t>Very High</t>
  </si>
  <si>
    <t>Almost certain (70% - 100% chance)</t>
  </si>
  <si>
    <t>High</t>
  </si>
  <si>
    <t>Likely to occur (50% - 70% chance)</t>
  </si>
  <si>
    <t>Medium</t>
  </si>
  <si>
    <t>Possible (30% - 50% chance)</t>
  </si>
  <si>
    <t>Low</t>
  </si>
  <si>
    <t>Unlikely (10% - 30% chance)</t>
  </si>
  <si>
    <t>Very Low</t>
  </si>
  <si>
    <t>Rare chance (0% - 10% chance)</t>
  </si>
  <si>
    <t>Impact (I): What is the severity if the risk occurs?</t>
  </si>
  <si>
    <t>Catastrophic</t>
  </si>
  <si>
    <t>Project failure, major financial loss, legal penalties</t>
  </si>
  <si>
    <t>Severe</t>
  </si>
  <si>
    <t>Significant schedule delay, budget overrun, serious reputation damage</t>
  </si>
  <si>
    <t>Moderate</t>
  </si>
  <si>
    <t>Noticeable delay, moderate cost increase, minor disruption</t>
  </si>
  <si>
    <t>Minor</t>
  </si>
  <si>
    <t>Slight delay, small cost increase, manageable inconvenience</t>
  </si>
  <si>
    <t>Negligible</t>
  </si>
  <si>
    <t>Very little or no noticeable effect</t>
  </si>
  <si>
    <t>Score Range</t>
  </si>
  <si>
    <t>Risk Level</t>
  </si>
  <si>
    <t>Action Required</t>
  </si>
  <si>
    <t>1 - 6</t>
  </si>
  <si>
    <t>Monitor regularly.</t>
  </si>
  <si>
    <t>7 - 14</t>
  </si>
  <si>
    <t>Define clear mitigation plans and review often.</t>
  </si>
  <si>
    <t>15 - 25</t>
  </si>
  <si>
    <t>Prioritize immediate action, allocate resources, and track closely.</t>
  </si>
  <si>
    <t>Risk Response</t>
  </si>
  <si>
    <t>Terminate/Avoidance</t>
  </si>
  <si>
    <t>Eliminating the activity that gives rise to the risk</t>
  </si>
  <si>
    <t>Implementing controls to reduce the likelihood or impact (e.g., security devices, training)</t>
  </si>
  <si>
    <t>Transfer/Sharing</t>
  </si>
  <si>
    <t>Shifting the risk to another party (e.g., through insurance, outsourcing, or contracts)</t>
  </si>
  <si>
    <t>Tolerate/Acceptance</t>
  </si>
  <si>
    <t>Acknowledging the risk and its potential impact, and budgeting for potential loss if the cost of treatment outweighs the cost of the risk</t>
  </si>
  <si>
    <r>
      <t>Is it a possibility?</t>
    </r>
    <r>
      <rPr>
        <sz val="10"/>
        <color rgb="FF000000"/>
        <rFont val="Arial"/>
        <scheme val="minor"/>
      </rPr>
      <t xml:space="preserve"> It’s a Risk.</t>
    </r>
  </si>
  <si>
    <r>
      <t>Is it a reality?</t>
    </r>
    <r>
      <rPr>
        <sz val="10"/>
        <color rgb="FF000000"/>
        <rFont val="Arial"/>
        <scheme val="minor"/>
      </rPr>
      <t xml:space="preserve"> It’s an Issue</t>
    </r>
  </si>
  <si>
    <t>Which way? Decision made between 2 or more alternatives</t>
  </si>
  <si>
    <t>Sign off</t>
  </si>
  <si>
    <t>Formal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</si>
</sst>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7">
    <font>
      <sz val="10"/>
      <color rgb="FF000000"/>
      <name val="Arial"/>
      <scheme val="minor"/>
    </font>
    <font>
      <b/>
      <sz val="10"/>
      <color theme="1"/>
      <name val="Arial"/>
      <scheme val="minor"/>
    </font>
    <font>
      <sz val="10"/>
      <color theme="1"/>
      <name val="Arial"/>
      <scheme val="minor"/>
    </font>
    <font>
      <sz val="10"/>
      <color theme="1"/>
      <name val="&quot;Google Sans Text&quot;"/>
    </font>
    <font>
      <sz val="10"/>
      <color theme="1"/>
      <name val="&quot;Google Sans&quot;"/>
    </font>
    <font>
      <b/>
      <sz val="14"/>
      <color theme="1"/>
      <name val="Arial"/>
      <scheme val="minor"/>
    </font>
    <font>
      <u/>
      <sz val="10"/>
      <color theme="10"/>
      <name val="Arial"/>
      <scheme val="minor"/>
    </font>
  </fonts>
  <fills count="4">
    <fill>
      <patternFill patternType="none"/>
    </fill>
    <fill>
      <patternFill patternType="gray125"/>
    </fill>
    <fill>
      <patternFill patternType="solid">
        <fgColor rgb="FFD9D9D9"/>
        <bgColor rgb="FFD9D9D9"/>
      </patternFill>
    </fill>
    <fill>
      <patternFill patternType="solid">
        <fgColor rgb="FFFFFFF2"/>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s>
  <cellStyleXfs count="2">
    <xf numFmtId="0" fontId="0" fillId="0" borderId="0"/>
    <xf numFmtId="0" fontId="6" fillId="0" borderId="0" applyNumberFormat="0" applyFill="0" applyBorder="0" applyAlignment="0" applyProtection="0"/>
  </cellStyleXfs>
  <cellXfs count="36">
    <xf numFmtId="0" fontId="0" fillId="0" borderId="0" xfId="0"/>
    <xf numFmtId="0" fontId="2"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14" fontId="0" fillId="0" borderId="0" xfId="0" applyNumberFormat="1"/>
    <xf numFmtId="0" fontId="0" fillId="0" borderId="0" xfId="0" applyAlignment="1">
      <alignment wrapText="1"/>
    </xf>
    <xf numFmtId="0" fontId="1" fillId="2" borderId="1" xfId="0" applyFont="1" applyFill="1" applyBorder="1" applyAlignment="1">
      <alignment horizontal="center" wrapText="1"/>
    </xf>
    <xf numFmtId="14" fontId="1" fillId="2" borderId="1" xfId="0" applyNumberFormat="1" applyFont="1" applyFill="1" applyBorder="1" applyAlignment="1">
      <alignment horizontal="center" wrapText="1"/>
    </xf>
    <xf numFmtId="3" fontId="2" fillId="0" borderId="1" xfId="0" applyNumberFormat="1" applyFont="1" applyBorder="1"/>
    <xf numFmtId="0" fontId="2" fillId="0" borderId="1" xfId="0" applyFont="1" applyBorder="1"/>
    <xf numFmtId="0" fontId="0" fillId="0" borderId="1" xfId="0" applyBorder="1" applyAlignment="1">
      <alignment wrapText="1"/>
    </xf>
    <xf numFmtId="0" fontId="0" fillId="0" borderId="1" xfId="0" applyBorder="1"/>
    <xf numFmtId="0" fontId="2" fillId="3" borderId="1" xfId="0" applyFont="1" applyFill="1" applyBorder="1"/>
    <xf numFmtId="14" fontId="0" fillId="0" borderId="1" xfId="0" applyNumberFormat="1" applyBorder="1"/>
    <xf numFmtId="0" fontId="6" fillId="0" borderId="1" xfId="1" applyBorder="1"/>
    <xf numFmtId="0" fontId="0" fillId="0" borderId="2" xfId="0" applyBorder="1"/>
    <xf numFmtId="0" fontId="0" fillId="0" borderId="2" xfId="0" applyBorder="1" applyAlignment="1">
      <alignment wrapText="1"/>
    </xf>
    <xf numFmtId="14" fontId="0" fillId="0" borderId="3" xfId="0" applyNumberFormat="1" applyBorder="1"/>
    <xf numFmtId="0" fontId="0" fillId="0" borderId="4" xfId="0" applyBorder="1"/>
    <xf numFmtId="0" fontId="0" fillId="0" borderId="6" xfId="0" applyBorder="1"/>
    <xf numFmtId="14" fontId="0" fillId="0" borderId="5" xfId="0" applyNumberFormat="1" applyBorder="1"/>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6" fillId="0" borderId="0" xfId="1" applyAlignment="1">
      <alignment vertical="center" wrapText="1"/>
    </xf>
    <xf numFmtId="0" fontId="6" fillId="0" borderId="0" xfId="1" applyAlignment="1">
      <alignment horizontal="center" vertical="center" wrapText="1"/>
    </xf>
    <xf numFmtId="164" fontId="0" fillId="0" borderId="0" xfId="0" applyNumberFormat="1" applyAlignment="1">
      <alignment horizontal="center" vertical="center"/>
    </xf>
    <xf numFmtId="3" fontId="2" fillId="0" borderId="3" xfId="0" applyNumberFormat="1" applyFont="1" applyBorder="1"/>
    <xf numFmtId="0" fontId="2" fillId="0" borderId="3" xfId="0" applyFont="1" applyBorder="1"/>
    <xf numFmtId="0" fontId="0" fillId="0" borderId="3" xfId="0" applyBorder="1" applyAlignment="1">
      <alignment wrapText="1"/>
    </xf>
    <xf numFmtId="0" fontId="0" fillId="0" borderId="3" xfId="0" applyBorder="1"/>
    <xf numFmtId="0" fontId="2" fillId="3" borderId="3" xfId="0" applyFont="1" applyFill="1" applyBorder="1"/>
  </cellXfs>
  <cellStyles count="2">
    <cellStyle name="Hyperlink" xfId="1" builtinId="8"/>
    <cellStyle name="Normal" xfId="0" builtinId="0"/>
  </cellStyles>
  <dxfs count="9">
    <dxf>
      <alignment wrapText="1"/>
    </dxf>
    <dxf>
      <alignment horizontal="center" vertical="center" textRotation="0" wrapText="0" indent="0" justifyLastLine="0" shrinkToFit="0" readingOrder="0"/>
    </dxf>
    <dxf>
      <numFmt numFmtId="164" formatCode="m/d/yy;@"/>
      <alignment horizontal="center" vertical="center"/>
    </dxf>
    <dxf>
      <alignment horizontal="center"/>
    </dxf>
    <dxf>
      <alignment horizontal="center"/>
    </dxf>
    <dxf>
      <alignment horizontal="center"/>
    </dxf>
    <dxf>
      <alignment horizontal="center" wrapText="1"/>
    </dxf>
    <dxf>
      <alignment horizontal="center" wrapText="1"/>
    </dxf>
    <dxf>
      <alignment horizontal="center" wrapText="1"/>
    </dxf>
  </dxfs>
  <tableStyles count="0" defaultTableStyle="TableStyleMedium2" defaultPivotStyle="PivotStyleLight16"/>
  <colors>
    <mruColors>
      <color rgb="FFFFFF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CC3A7F-0FAB-4976-A8A2-1DA44CCD8C9E}" name="Table1" displayName="Table1" ref="A1:I7" totalsRowShown="0">
  <autoFilter ref="A1:I7" xr:uid="{A2CC3A7F-0FAB-4976-A8A2-1DA44CCD8C9E}"/>
  <tableColumns count="9">
    <tableColumn id="1" xr3:uid="{E16C66B6-E9C1-4E90-912F-1D8BE64F5D84}" name="Item/ Deliverable" dataDxfId="8"/>
    <tableColumn id="2" xr3:uid="{BB3BA591-59F2-4A46-B4EC-39777E03A007}" name="Description" dataDxfId="7"/>
    <tableColumn id="3" xr3:uid="{A2511BD8-57E6-43B4-BA0E-D034D72E2599}" name="Version/ Artifact Link" dataDxfId="6"/>
    <tableColumn id="4" xr3:uid="{E5C2465F-DF11-4898-808C-A08F0C6D0F00}" name="Approver Name" dataDxfId="5"/>
    <tableColumn id="5" xr3:uid="{E1DE25A4-817A-4834-8AC6-50950F0DE6F4}" name="Approval Method" dataDxfId="4"/>
    <tableColumn id="6" xr3:uid="{1B97F370-4BFC-4BFF-B871-8953482381A7}" name="Approval Status" dataDxfId="3"/>
    <tableColumn id="7" xr3:uid="{482A3479-90A3-4BEB-A83C-44398B6B6F3E}" name="Date Approved" dataDxfId="2"/>
    <tableColumn id="9" xr3:uid="{6B95C2F6-E62B-46C5-9DD0-220A9AAA97B5}" name="Entered By" dataDxfId="1"/>
    <tableColumn id="8" xr3:uid="{43024360-DFD8-4CFD-995B-ECE120BDD835}" name="Notes" dataDxfId="0"/>
  </tableColumns>
  <tableStyleInfo name="TableStyleMedium1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oncologyanalyticsinc.sharepoint.com/:w:/r/sites/OncoHealth_NewFire/_layouts/15/Doc.aspx?sourcedoc=%7B8B891A0D-0949-4088-A6CD-8ED34088A9A7%7D&amp;file=NewUM%25u00a0Services%20Integration%20Design.docx&amp;action=default&amp;mobileredirect=true" TargetMode="External"/><Relationship Id="rId13" Type="http://schemas.openxmlformats.org/officeDocument/2006/relationships/vmlDrawing" Target="../drawings/vmlDrawing1.vml"/><Relationship Id="rId3" Type="http://schemas.openxmlformats.org/officeDocument/2006/relationships/hyperlink" Target="https://oncologyanalyticsinc.sharepoint.com/:w:/r/sites/OncoHealth_NewFire/_layouts/15/Doc.aspx?sourcedoc=%7B8B891A0D-0949-4088-A6CD-8ED34088A9A7%7D&amp;file=NewUM%25u00a0Services%20Integration%20Design.docx&amp;action=default&amp;mobileredirect=true" TargetMode="External"/><Relationship Id="rId7" Type="http://schemas.openxmlformats.org/officeDocument/2006/relationships/hyperlink" Target="https://oncologyanalyticsinc.sharepoint.com/:w:/r/sites/OncoHealth_NewFire/_layouts/15/Doc.aspx?sourcedoc=%7B8B891A0D-0949-4088-A6CD-8ED34088A9A7%7D&amp;file=NewUM%25u00a0Services%20Integration%20Design.docx&amp;action=default&amp;mobileredirect=true" TargetMode="External"/><Relationship Id="rId12" Type="http://schemas.openxmlformats.org/officeDocument/2006/relationships/hyperlink" Target="https://oncologyanalyticsinc.sharepoint.com/:w:/r/sites/OncoHealth_NewFire/_layouts/15/Doc.aspx?sourcedoc=%7B8B891A0D-0949-4088-A6CD-8ED34088A9A7%7D&amp;file=NewUM%25u00a0Services%20Integration%20Design.docx&amp;action=default&amp;mobileredirect=true" TargetMode="External"/><Relationship Id="rId2" Type="http://schemas.openxmlformats.org/officeDocument/2006/relationships/hyperlink" Target="https://oncologyanalyticsinc-my.sharepoint.com/:w:/r/personal/jhall_oncologyanalytics_com/Documents/Rules%20Engine%20Edge%20Cases.docx?d=w5f533ea03065480a92b43ca6d73ac85f&amp;csf=1&amp;web=1&amp;e=feHpN9" TargetMode="External"/><Relationship Id="rId1" Type="http://schemas.openxmlformats.org/officeDocument/2006/relationships/hyperlink" Target="https://oncologyanalyticsinc-my.sharepoint.com/:w:/r/personal/jhall_oncologyanalytics_com/_layouts/15/Doc.aspx?sourcedoc=%7B447717B2-BE52-4C47-AE81-AD9FCC38A4A6%7D&amp;file=Automapper%20or%20No.docx&amp;action=default&amp;mobileredirect=true&amp;DefaultItemOpen=1&amp;wdOrigin=WAC.WORD.HOME-BUTTON%2CAPPHOME-WEB.FILEBROWSER.RECENT&amp;wdPreviousSession=ebc71ebf-660e-45eb-a477-b52e302885d9&amp;wdPreviousSessionSrc=AppHomeWeb&amp;ct=1769183354671" TargetMode="External"/><Relationship Id="rId6" Type="http://schemas.openxmlformats.org/officeDocument/2006/relationships/hyperlink" Target="https://oncologyanalyticsinc.sharepoint.com/:w:/r/sites/OncoHealth_NewFire/_layouts/15/Doc.aspx?sourcedoc=%7B8B891A0D-0949-4088-A6CD-8ED34088A9A7%7D&amp;file=NewUM%25u00a0Services%20Integration%20Design.docx&amp;action=default&amp;mobileredirect=true" TargetMode="External"/><Relationship Id="rId11" Type="http://schemas.openxmlformats.org/officeDocument/2006/relationships/hyperlink" Target="https://oncologyanalyticsinc.sharepoint.com/:w:/r/sites/OncoHealth_NewFire/_layouts/15/Doc.aspx?sourcedoc=%7B8B891A0D-0949-4088-A6CD-8ED34088A9A7%7D&amp;file=NewUM%25u00a0Services%20Integration%20Design.docx&amp;action=default&amp;mobileredirect=true" TargetMode="External"/><Relationship Id="rId5" Type="http://schemas.openxmlformats.org/officeDocument/2006/relationships/hyperlink" Target="https://oncologyanalyticsinc.sharepoint.com/:w:/r/sites/OncoHealth_NewFire/_layouts/15/Doc.aspx?sourcedoc=%7B8B891A0D-0949-4088-A6CD-8ED34088A9A7%7D&amp;file=NewUM%25u00a0Services%20Integration%20Design.docx&amp;action=default&amp;mobileredirect=true" TargetMode="External"/><Relationship Id="rId10" Type="http://schemas.openxmlformats.org/officeDocument/2006/relationships/hyperlink" Target="https://oncologyanalyticsinc.sharepoint.com/:w:/r/sites/OncoHealth_NewFire/_layouts/15/Doc.aspx?sourcedoc=%7B8B891A0D-0949-4088-A6CD-8ED34088A9A7%7D&amp;file=NewUM%25u00a0Services%20Integration%20Design.docx&amp;action=default&amp;mobileredirect=true" TargetMode="External"/><Relationship Id="rId4" Type="http://schemas.openxmlformats.org/officeDocument/2006/relationships/hyperlink" Target="https://oncologyanalyticsinc.sharepoint.com/:w:/r/sites/OncoHealth_NewFire/_layouts/15/Doc.aspx?sourcedoc=%7B8B891A0D-0949-4088-A6CD-8ED34088A9A7%7D&amp;file=NewUM%25u00a0Services%20Integration%20Design.docx&amp;action=default&amp;mobileredirect=true" TargetMode="External"/><Relationship Id="rId9" Type="http://schemas.openxmlformats.org/officeDocument/2006/relationships/hyperlink" Target="https://oncologyanalyticsinc.sharepoint.com/:w:/r/sites/OncoHealth_NewFire/_layouts/15/Doc.aspx?sourcedoc=%7B8B891A0D-0949-4088-A6CD-8ED34088A9A7%7D&amp;file=NewUM%25u00a0Services%20Integration%20Design.docx&amp;action=default&amp;mobileredirect=true" TargetMode="External"/><Relationship Id="rId1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www.figma.com/design/uENaQVxy3I1js8Eq9v1l0N/CASE-ENTRY-Start-a-Prior-Auth?node-id=1-3&amp;t=1LXeHIx1qpvkMrUj-1" TargetMode="External"/><Relationship Id="rId1" Type="http://schemas.openxmlformats.org/officeDocument/2006/relationships/hyperlink" Target="https://oncologyanalyticsinc.sharepoint.com/:x:/s/OncoHealth_NewFire/IQDpa-GgRW_EQ7rnZ67smMMVAc5FqqX37xkdzrYV36oA3uQ?e=lVrzyZ"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Z103"/>
  <sheetViews>
    <sheetView tabSelected="1" workbookViewId="0">
      <pane ySplit="1" topLeftCell="A25" activePane="bottomLeft" state="frozen"/>
      <selection pane="bottomLeft" activeCell="N102" sqref="N102"/>
    </sheetView>
  </sheetViews>
  <sheetFormatPr defaultColWidth="12.5703125" defaultRowHeight="15.75" customHeight="1"/>
  <cols>
    <col min="1" max="1" width="6" bestFit="1" customWidth="1"/>
    <col min="2" max="2" width="12.28515625" customWidth="1"/>
    <col min="3" max="3" width="52.7109375" style="7" customWidth="1"/>
    <col min="4" max="4" width="18.7109375" customWidth="1"/>
    <col min="5" max="5" width="11.42578125" customWidth="1"/>
    <col min="6" max="6" width="8" customWidth="1"/>
    <col min="7" max="7" width="11.42578125" customWidth="1"/>
    <col min="8" max="8" width="11.7109375" customWidth="1"/>
    <col min="9" max="9" width="40.28515625" customWidth="1"/>
    <col min="10" max="10" width="20" customWidth="1"/>
    <col min="11" max="11" width="12.5703125" style="6"/>
    <col min="13" max="13" width="35.7109375" customWidth="1"/>
  </cols>
  <sheetData>
    <row r="1" spans="1:26" ht="51" customHeight="1">
      <c r="A1" s="8" t="s">
        <v>0</v>
      </c>
      <c r="B1" s="8" t="s">
        <v>1</v>
      </c>
      <c r="C1" s="8" t="s">
        <v>2</v>
      </c>
      <c r="D1" s="8" t="s">
        <v>3</v>
      </c>
      <c r="E1" s="8" t="s">
        <v>4</v>
      </c>
      <c r="F1" s="8" t="s">
        <v>5</v>
      </c>
      <c r="G1" s="8" t="s">
        <v>6</v>
      </c>
      <c r="H1" s="8" t="s">
        <v>7</v>
      </c>
      <c r="I1" s="8" t="s">
        <v>8</v>
      </c>
      <c r="J1" s="8" t="s">
        <v>9</v>
      </c>
      <c r="K1" s="9" t="s">
        <v>10</v>
      </c>
      <c r="L1" s="9" t="s">
        <v>11</v>
      </c>
      <c r="M1" s="8" t="s">
        <v>12</v>
      </c>
      <c r="N1" s="9" t="s">
        <v>13</v>
      </c>
      <c r="O1" s="1"/>
      <c r="P1" s="1"/>
      <c r="Q1" s="1"/>
      <c r="R1" s="1"/>
      <c r="S1" s="1"/>
      <c r="T1" s="1"/>
      <c r="U1" s="1"/>
      <c r="V1" s="1"/>
      <c r="W1" s="1"/>
      <c r="X1" s="1"/>
      <c r="Y1" s="1"/>
      <c r="Z1" s="1"/>
    </row>
    <row r="2" spans="1:26" ht="48" hidden="1">
      <c r="A2" s="10">
        <v>1</v>
      </c>
      <c r="B2" s="11" t="s">
        <v>14</v>
      </c>
      <c r="C2" s="12" t="s">
        <v>15</v>
      </c>
      <c r="D2" s="13" t="s">
        <v>16</v>
      </c>
      <c r="E2" s="13">
        <v>3</v>
      </c>
      <c r="F2" s="13">
        <v>4</v>
      </c>
      <c r="G2" s="14">
        <f t="shared" ref="G2:G101" si="0">E2*F2</f>
        <v>12</v>
      </c>
      <c r="H2" s="11" t="s">
        <v>17</v>
      </c>
      <c r="I2" s="13" t="s">
        <v>18</v>
      </c>
      <c r="J2" s="11" t="s">
        <v>19</v>
      </c>
      <c r="K2" s="15">
        <v>46024</v>
      </c>
      <c r="L2" s="13" t="s">
        <v>16</v>
      </c>
      <c r="M2" s="12" t="s">
        <v>20</v>
      </c>
      <c r="N2" s="6">
        <v>46080</v>
      </c>
    </row>
    <row r="3" spans="1:26" ht="84" hidden="1">
      <c r="A3" s="11">
        <v>2</v>
      </c>
      <c r="B3" s="11" t="s">
        <v>14</v>
      </c>
      <c r="C3" s="12" t="s">
        <v>21</v>
      </c>
      <c r="D3" s="13" t="s">
        <v>22</v>
      </c>
      <c r="E3" s="13">
        <v>4</v>
      </c>
      <c r="F3" s="13">
        <v>3</v>
      </c>
      <c r="G3" s="14">
        <f t="shared" si="0"/>
        <v>12</v>
      </c>
      <c r="H3" s="11" t="s">
        <v>17</v>
      </c>
      <c r="I3" s="13" t="s">
        <v>23</v>
      </c>
      <c r="J3" s="11" t="s">
        <v>19</v>
      </c>
      <c r="K3" s="15">
        <v>46024</v>
      </c>
      <c r="L3" s="13" t="s">
        <v>16</v>
      </c>
      <c r="M3" s="12" t="s">
        <v>24</v>
      </c>
      <c r="N3" s="15">
        <v>46087</v>
      </c>
    </row>
    <row r="4" spans="1:26" ht="72">
      <c r="A4" s="11">
        <v>3</v>
      </c>
      <c r="B4" s="11" t="s">
        <v>14</v>
      </c>
      <c r="C4" s="12" t="s">
        <v>25</v>
      </c>
      <c r="D4" s="13" t="s">
        <v>26</v>
      </c>
      <c r="E4" s="13">
        <v>4</v>
      </c>
      <c r="F4" s="13">
        <v>2</v>
      </c>
      <c r="G4" s="14">
        <f>E4*F4</f>
        <v>8</v>
      </c>
      <c r="H4" s="11" t="s">
        <v>27</v>
      </c>
      <c r="I4" s="13" t="s">
        <v>28</v>
      </c>
      <c r="J4" s="11" t="s">
        <v>19</v>
      </c>
      <c r="K4" s="15">
        <v>46024</v>
      </c>
      <c r="L4" s="13" t="s">
        <v>16</v>
      </c>
      <c r="M4" s="12" t="s">
        <v>29</v>
      </c>
      <c r="N4" s="13"/>
    </row>
    <row r="5" spans="1:26" ht="60">
      <c r="A5" s="11">
        <v>4</v>
      </c>
      <c r="B5" s="13" t="s">
        <v>14</v>
      </c>
      <c r="C5" s="12" t="s">
        <v>30</v>
      </c>
      <c r="D5" s="13" t="s">
        <v>31</v>
      </c>
      <c r="E5" s="13">
        <v>4</v>
      </c>
      <c r="F5" s="13">
        <v>4</v>
      </c>
      <c r="G5" s="14">
        <f>E5*F5</f>
        <v>16</v>
      </c>
      <c r="H5" s="11" t="s">
        <v>27</v>
      </c>
      <c r="I5" s="12" t="s">
        <v>32</v>
      </c>
      <c r="J5" s="11" t="s">
        <v>19</v>
      </c>
      <c r="K5" s="15">
        <v>46024</v>
      </c>
      <c r="L5" s="13" t="s">
        <v>16</v>
      </c>
      <c r="M5" s="12" t="s">
        <v>33</v>
      </c>
      <c r="N5" s="13"/>
    </row>
    <row r="6" spans="1:26" ht="72">
      <c r="A6" s="11">
        <v>5</v>
      </c>
      <c r="B6" s="11" t="s">
        <v>14</v>
      </c>
      <c r="C6" s="12" t="s">
        <v>34</v>
      </c>
      <c r="D6" s="13" t="s">
        <v>26</v>
      </c>
      <c r="E6" s="13">
        <v>4</v>
      </c>
      <c r="F6" s="13">
        <v>3</v>
      </c>
      <c r="G6" s="14">
        <f>E6*F6</f>
        <v>12</v>
      </c>
      <c r="H6" s="11" t="s">
        <v>27</v>
      </c>
      <c r="I6" s="13" t="s">
        <v>35</v>
      </c>
      <c r="J6" s="2" t="s">
        <v>19</v>
      </c>
      <c r="K6" s="15">
        <v>46024</v>
      </c>
      <c r="L6" s="13" t="s">
        <v>16</v>
      </c>
      <c r="M6" s="12" t="s">
        <v>36</v>
      </c>
      <c r="N6" s="13"/>
    </row>
    <row r="7" spans="1:26" ht="96" hidden="1">
      <c r="A7" s="10">
        <v>6</v>
      </c>
      <c r="B7" s="11" t="s">
        <v>37</v>
      </c>
      <c r="C7" s="12" t="s">
        <v>38</v>
      </c>
      <c r="D7" s="13" t="s">
        <v>26</v>
      </c>
      <c r="E7" s="13"/>
      <c r="F7" s="13"/>
      <c r="G7" s="14">
        <f>E7*F7</f>
        <v>0</v>
      </c>
      <c r="H7" s="11" t="s">
        <v>17</v>
      </c>
      <c r="I7" s="13"/>
      <c r="J7" s="11"/>
      <c r="K7" s="15">
        <v>46035</v>
      </c>
      <c r="L7" s="13" t="s">
        <v>31</v>
      </c>
      <c r="M7" s="12" t="s">
        <v>39</v>
      </c>
      <c r="N7" s="6">
        <v>46084</v>
      </c>
    </row>
    <row r="8" spans="1:26" ht="24" hidden="1">
      <c r="A8" s="11">
        <v>7</v>
      </c>
      <c r="B8" s="11" t="s">
        <v>37</v>
      </c>
      <c r="C8" s="12" t="s">
        <v>40</v>
      </c>
      <c r="D8" s="13" t="s">
        <v>26</v>
      </c>
      <c r="E8" s="13"/>
      <c r="F8" s="13"/>
      <c r="G8" s="14">
        <f>E8*F8</f>
        <v>0</v>
      </c>
      <c r="H8" s="11" t="s">
        <v>17</v>
      </c>
      <c r="I8" s="13"/>
      <c r="J8" s="11"/>
      <c r="K8" s="15">
        <v>46035</v>
      </c>
      <c r="L8" s="13" t="s">
        <v>31</v>
      </c>
      <c r="M8" s="13" t="s">
        <v>41</v>
      </c>
      <c r="N8" s="6">
        <v>46080</v>
      </c>
    </row>
    <row r="9" spans="1:26" ht="25.5" hidden="1">
      <c r="A9" s="11">
        <v>8</v>
      </c>
      <c r="B9" s="11" t="s">
        <v>14</v>
      </c>
      <c r="C9" s="12" t="s">
        <v>42</v>
      </c>
      <c r="D9" s="13" t="s">
        <v>16</v>
      </c>
      <c r="E9" s="13">
        <v>3</v>
      </c>
      <c r="F9" s="13">
        <v>3</v>
      </c>
      <c r="G9" s="14">
        <f>E9*F9</f>
        <v>9</v>
      </c>
      <c r="H9" s="11" t="s">
        <v>17</v>
      </c>
      <c r="I9" s="13" t="s">
        <v>43</v>
      </c>
      <c r="J9" s="11" t="s">
        <v>19</v>
      </c>
      <c r="K9" s="15">
        <v>46035</v>
      </c>
      <c r="L9" s="13" t="s">
        <v>16</v>
      </c>
      <c r="M9" s="17" t="s">
        <v>44</v>
      </c>
      <c r="N9" s="15">
        <v>46070</v>
      </c>
    </row>
    <row r="10" spans="1:26" ht="72" hidden="1">
      <c r="A10" s="11">
        <v>9</v>
      </c>
      <c r="B10" s="11" t="s">
        <v>14</v>
      </c>
      <c r="C10" s="12" t="s">
        <v>45</v>
      </c>
      <c r="D10" s="13" t="s">
        <v>46</v>
      </c>
      <c r="E10" s="13">
        <v>4</v>
      </c>
      <c r="F10" s="13">
        <v>4</v>
      </c>
      <c r="G10" s="14">
        <f>E10*F10</f>
        <v>16</v>
      </c>
      <c r="H10" s="11" t="s">
        <v>17</v>
      </c>
      <c r="I10" s="13" t="s">
        <v>47</v>
      </c>
      <c r="J10" s="11" t="s">
        <v>19</v>
      </c>
      <c r="K10" s="15">
        <v>46037</v>
      </c>
      <c r="L10" s="13" t="s">
        <v>16</v>
      </c>
      <c r="M10" s="12" t="s">
        <v>48</v>
      </c>
      <c r="N10" s="6">
        <v>46084</v>
      </c>
    </row>
    <row r="11" spans="1:26" ht="24" hidden="1">
      <c r="A11" s="11">
        <v>10</v>
      </c>
      <c r="B11" s="11" t="s">
        <v>37</v>
      </c>
      <c r="C11" s="12" t="s">
        <v>49</v>
      </c>
      <c r="D11" s="13" t="s">
        <v>26</v>
      </c>
      <c r="E11" s="13"/>
      <c r="F11" s="13"/>
      <c r="G11" s="14">
        <f>E11*F11</f>
        <v>0</v>
      </c>
      <c r="H11" s="11" t="s">
        <v>17</v>
      </c>
      <c r="I11" s="13"/>
      <c r="J11" s="11"/>
      <c r="K11" s="15">
        <v>46043</v>
      </c>
      <c r="L11" s="13" t="s">
        <v>31</v>
      </c>
      <c r="M11" s="13" t="s">
        <v>50</v>
      </c>
      <c r="N11" s="6">
        <v>46080</v>
      </c>
    </row>
    <row r="12" spans="1:26" ht="84" hidden="1">
      <c r="A12" s="10">
        <v>11</v>
      </c>
      <c r="B12" s="11" t="s">
        <v>14</v>
      </c>
      <c r="C12" s="12" t="s">
        <v>51</v>
      </c>
      <c r="D12" s="13" t="s">
        <v>16</v>
      </c>
      <c r="E12" s="13">
        <v>3</v>
      </c>
      <c r="F12" s="13">
        <v>3</v>
      </c>
      <c r="G12" s="14">
        <f>E12*F12</f>
        <v>9</v>
      </c>
      <c r="H12" s="11" t="s">
        <v>17</v>
      </c>
      <c r="I12" s="12" t="s">
        <v>52</v>
      </c>
      <c r="J12" s="11" t="s">
        <v>19</v>
      </c>
      <c r="K12" s="15">
        <v>46044</v>
      </c>
      <c r="L12" s="13" t="s">
        <v>16</v>
      </c>
      <c r="M12" s="12" t="s">
        <v>53</v>
      </c>
      <c r="N12" s="6">
        <v>46080</v>
      </c>
    </row>
    <row r="13" spans="1:26" ht="12.75" hidden="1">
      <c r="A13" s="11">
        <v>12</v>
      </c>
      <c r="B13" s="11" t="s">
        <v>14</v>
      </c>
      <c r="C13" s="12" t="s">
        <v>54</v>
      </c>
      <c r="D13" s="13" t="s">
        <v>16</v>
      </c>
      <c r="E13" s="13">
        <v>3</v>
      </c>
      <c r="F13" s="13">
        <v>3</v>
      </c>
      <c r="G13" s="14">
        <f>E13*F13</f>
        <v>9</v>
      </c>
      <c r="H13" s="11" t="s">
        <v>17</v>
      </c>
      <c r="I13" s="13"/>
      <c r="J13" s="11" t="s">
        <v>19</v>
      </c>
      <c r="K13" s="15">
        <v>46035</v>
      </c>
      <c r="L13" s="13" t="s">
        <v>16</v>
      </c>
      <c r="M13" s="17" t="s">
        <v>55</v>
      </c>
      <c r="N13" s="15">
        <v>46051</v>
      </c>
    </row>
    <row r="14" spans="1:26" ht="12.75" hidden="1">
      <c r="A14" s="11">
        <v>13</v>
      </c>
      <c r="B14" s="11" t="s">
        <v>37</v>
      </c>
      <c r="C14" s="12" t="s">
        <v>56</v>
      </c>
      <c r="D14" s="13" t="s">
        <v>26</v>
      </c>
      <c r="E14" s="13"/>
      <c r="F14" s="13"/>
      <c r="G14" s="14">
        <f>E14*F14</f>
        <v>0</v>
      </c>
      <c r="H14" s="11" t="s">
        <v>17</v>
      </c>
      <c r="I14" s="16"/>
      <c r="J14" s="16" t="s">
        <v>57</v>
      </c>
      <c r="K14" s="15">
        <v>46045</v>
      </c>
      <c r="L14" s="13" t="s">
        <v>31</v>
      </c>
      <c r="M14" s="13" t="s">
        <v>58</v>
      </c>
      <c r="N14" s="6">
        <v>46098</v>
      </c>
    </row>
    <row r="15" spans="1:26" ht="12.75" hidden="1">
      <c r="A15" s="11">
        <v>14</v>
      </c>
      <c r="B15" s="11" t="s">
        <v>14</v>
      </c>
      <c r="C15" s="12" t="s">
        <v>59</v>
      </c>
      <c r="D15" s="13" t="s">
        <v>60</v>
      </c>
      <c r="E15" s="13">
        <v>5</v>
      </c>
      <c r="F15" s="13">
        <v>4</v>
      </c>
      <c r="G15" s="14">
        <f>E15*F15</f>
        <v>20</v>
      </c>
      <c r="H15" s="11" t="s">
        <v>17</v>
      </c>
      <c r="I15" s="13" t="s">
        <v>61</v>
      </c>
      <c r="J15" s="11" t="s">
        <v>19</v>
      </c>
      <c r="K15" s="15">
        <v>46048</v>
      </c>
      <c r="L15" s="13"/>
      <c r="M15" s="17" t="s">
        <v>62</v>
      </c>
      <c r="N15" s="15">
        <v>46071</v>
      </c>
    </row>
    <row r="16" spans="1:26" ht="12.75" hidden="1">
      <c r="A16" s="11">
        <v>15</v>
      </c>
      <c r="B16" s="11" t="s">
        <v>14</v>
      </c>
      <c r="C16" s="12" t="s">
        <v>63</v>
      </c>
      <c r="D16" s="13" t="s">
        <v>16</v>
      </c>
      <c r="E16" s="13">
        <v>5</v>
      </c>
      <c r="F16" s="13">
        <v>3</v>
      </c>
      <c r="G16" s="14">
        <f>E16*F16</f>
        <v>15</v>
      </c>
      <c r="H16" s="11" t="s">
        <v>17</v>
      </c>
      <c r="I16" s="13" t="s">
        <v>64</v>
      </c>
      <c r="J16" s="11" t="s">
        <v>19</v>
      </c>
      <c r="K16" s="15">
        <v>46048</v>
      </c>
      <c r="L16" s="13" t="s">
        <v>16</v>
      </c>
      <c r="M16" s="17" t="s">
        <v>65</v>
      </c>
      <c r="N16" s="15">
        <v>46063</v>
      </c>
    </row>
    <row r="17" spans="1:14" ht="60">
      <c r="A17" s="10">
        <v>16</v>
      </c>
      <c r="B17" s="11" t="s">
        <v>14</v>
      </c>
      <c r="C17" s="12" t="s">
        <v>66</v>
      </c>
      <c r="D17" s="13" t="s">
        <v>26</v>
      </c>
      <c r="E17" s="13">
        <v>5</v>
      </c>
      <c r="F17" s="13">
        <v>4</v>
      </c>
      <c r="G17" s="14">
        <f>E17*F17</f>
        <v>20</v>
      </c>
      <c r="H17" s="11" t="s">
        <v>27</v>
      </c>
      <c r="I17" s="13" t="s">
        <v>67</v>
      </c>
      <c r="J17" s="11" t="s">
        <v>19</v>
      </c>
      <c r="K17" s="15">
        <v>46049</v>
      </c>
      <c r="L17" s="13" t="s">
        <v>68</v>
      </c>
      <c r="M17" s="12" t="s">
        <v>69</v>
      </c>
      <c r="N17" s="13"/>
    </row>
    <row r="18" spans="1:14" ht="25.5" hidden="1">
      <c r="A18" s="11">
        <v>17</v>
      </c>
      <c r="B18" s="11" t="s">
        <v>14</v>
      </c>
      <c r="C18" s="12" t="s">
        <v>70</v>
      </c>
      <c r="D18" s="12" t="s">
        <v>46</v>
      </c>
      <c r="E18" s="13">
        <v>3</v>
      </c>
      <c r="F18" s="13">
        <v>4</v>
      </c>
      <c r="G18" s="14">
        <f>E18*F18</f>
        <v>12</v>
      </c>
      <c r="H18" s="11" t="s">
        <v>17</v>
      </c>
      <c r="I18" s="7" t="s">
        <v>71</v>
      </c>
      <c r="J18" s="11" t="s">
        <v>19</v>
      </c>
      <c r="K18" s="15">
        <v>46057</v>
      </c>
      <c r="L18" s="12" t="s">
        <v>46</v>
      </c>
      <c r="M18" s="17" t="s">
        <v>72</v>
      </c>
      <c r="N18" s="19">
        <v>46070</v>
      </c>
    </row>
    <row r="19" spans="1:14" ht="25.5" hidden="1">
      <c r="A19" s="11">
        <v>18</v>
      </c>
      <c r="B19" s="11" t="s">
        <v>14</v>
      </c>
      <c r="C19" s="12" t="s">
        <v>73</v>
      </c>
      <c r="D19" s="12" t="s">
        <v>46</v>
      </c>
      <c r="E19" s="13">
        <v>3</v>
      </c>
      <c r="F19" s="13">
        <v>3</v>
      </c>
      <c r="G19" s="14">
        <f>E19*F19</f>
        <v>9</v>
      </c>
      <c r="H19" s="11" t="s">
        <v>17</v>
      </c>
      <c r="I19" s="7" t="s">
        <v>74</v>
      </c>
      <c r="J19" s="11" t="s">
        <v>19</v>
      </c>
      <c r="K19" s="15">
        <v>46057</v>
      </c>
      <c r="L19" s="12" t="s">
        <v>46</v>
      </c>
      <c r="M19" s="17" t="s">
        <v>75</v>
      </c>
      <c r="N19" s="15">
        <v>46070</v>
      </c>
    </row>
    <row r="20" spans="1:14" ht="48" hidden="1">
      <c r="A20" s="11">
        <v>19</v>
      </c>
      <c r="B20" s="11" t="s">
        <v>76</v>
      </c>
      <c r="C20" s="12" t="s">
        <v>77</v>
      </c>
      <c r="D20" s="13" t="s">
        <v>26</v>
      </c>
      <c r="E20" s="13"/>
      <c r="F20" s="13"/>
      <c r="G20" s="14">
        <f>E20*F20</f>
        <v>0</v>
      </c>
      <c r="H20" s="11" t="s">
        <v>78</v>
      </c>
      <c r="I20" s="16" t="s">
        <v>79</v>
      </c>
      <c r="K20" s="15">
        <v>46058</v>
      </c>
      <c r="L20" s="13" t="s">
        <v>31</v>
      </c>
      <c r="M20" s="17"/>
      <c r="N20" s="13"/>
    </row>
    <row r="21" spans="1:14" ht="166.5" hidden="1">
      <c r="A21" s="11">
        <v>20</v>
      </c>
      <c r="B21" s="11" t="s">
        <v>14</v>
      </c>
      <c r="C21" s="12" t="s">
        <v>80</v>
      </c>
      <c r="D21" s="13" t="s">
        <v>16</v>
      </c>
      <c r="E21" s="13">
        <v>3</v>
      </c>
      <c r="F21" s="13">
        <v>3</v>
      </c>
      <c r="G21" s="14">
        <f>E21*F21</f>
        <v>9</v>
      </c>
      <c r="H21" s="11" t="s">
        <v>17</v>
      </c>
      <c r="I21" s="13" t="s">
        <v>81</v>
      </c>
      <c r="J21" s="11" t="s">
        <v>19</v>
      </c>
      <c r="K21" s="6">
        <v>46063</v>
      </c>
      <c r="L21" s="13" t="s">
        <v>16</v>
      </c>
      <c r="M21" s="18" t="s">
        <v>82</v>
      </c>
      <c r="N21" s="15">
        <v>46119</v>
      </c>
    </row>
    <row r="22" spans="1:14" ht="72" hidden="1">
      <c r="A22" s="11">
        <v>21</v>
      </c>
      <c r="B22" s="11" t="s">
        <v>14</v>
      </c>
      <c r="C22" s="12" t="s">
        <v>83</v>
      </c>
      <c r="D22" s="13" t="s">
        <v>26</v>
      </c>
      <c r="E22" s="13">
        <v>4</v>
      </c>
      <c r="F22" s="13">
        <v>3</v>
      </c>
      <c r="G22" s="14">
        <f>E22*F22</f>
        <v>12</v>
      </c>
      <c r="H22" s="11" t="s">
        <v>17</v>
      </c>
      <c r="I22" s="13" t="s">
        <v>84</v>
      </c>
      <c r="J22" s="11"/>
      <c r="K22" s="15">
        <v>46063</v>
      </c>
      <c r="L22" s="13" t="s">
        <v>16</v>
      </c>
      <c r="M22" s="18" t="s">
        <v>85</v>
      </c>
      <c r="N22" s="15">
        <v>46080</v>
      </c>
    </row>
    <row r="23" spans="1:14" ht="60" hidden="1">
      <c r="A23" s="11">
        <v>22</v>
      </c>
      <c r="B23" s="11" t="s">
        <v>14</v>
      </c>
      <c r="C23" s="12" t="s">
        <v>86</v>
      </c>
      <c r="D23" s="12" t="s">
        <v>46</v>
      </c>
      <c r="E23" s="13">
        <v>3</v>
      </c>
      <c r="F23" s="13">
        <v>4</v>
      </c>
      <c r="G23" s="14">
        <f>E23*F23</f>
        <v>12</v>
      </c>
      <c r="H23" s="11" t="s">
        <v>17</v>
      </c>
      <c r="I23" s="12" t="s">
        <v>87</v>
      </c>
      <c r="J23" s="11" t="s">
        <v>19</v>
      </c>
      <c r="K23" s="15">
        <v>46070</v>
      </c>
      <c r="L23" s="12" t="s">
        <v>46</v>
      </c>
      <c r="M23" s="18" t="s">
        <v>88</v>
      </c>
      <c r="N23" s="15">
        <v>46076</v>
      </c>
    </row>
    <row r="24" spans="1:14" ht="154.5">
      <c r="A24" s="10">
        <v>23</v>
      </c>
      <c r="B24" s="11" t="s">
        <v>14</v>
      </c>
      <c r="C24" s="12" t="s">
        <v>89</v>
      </c>
      <c r="D24" s="13" t="s">
        <v>26</v>
      </c>
      <c r="E24" s="13">
        <v>2</v>
      </c>
      <c r="F24" s="13">
        <v>3</v>
      </c>
      <c r="G24" s="14">
        <f>E24*F24</f>
        <v>6</v>
      </c>
      <c r="H24" s="11" t="s">
        <v>27</v>
      </c>
      <c r="I24" s="13" t="s">
        <v>90</v>
      </c>
      <c r="J24" s="11" t="s">
        <v>19</v>
      </c>
      <c r="K24" s="15">
        <v>46070</v>
      </c>
      <c r="L24" s="13" t="s">
        <v>91</v>
      </c>
      <c r="M24" s="18" t="s">
        <v>92</v>
      </c>
      <c r="N24" s="13"/>
    </row>
    <row r="25" spans="1:14" ht="48">
      <c r="A25" s="11">
        <v>24</v>
      </c>
      <c r="B25" s="11" t="s">
        <v>14</v>
      </c>
      <c r="C25" s="12" t="s">
        <v>93</v>
      </c>
      <c r="D25" s="13" t="s">
        <v>26</v>
      </c>
      <c r="E25" s="13">
        <v>2</v>
      </c>
      <c r="F25" s="13">
        <v>3</v>
      </c>
      <c r="G25" s="14">
        <f>E25*F25</f>
        <v>6</v>
      </c>
      <c r="H25" s="11" t="s">
        <v>27</v>
      </c>
      <c r="I25" s="13" t="s">
        <v>94</v>
      </c>
      <c r="J25" s="11" t="s">
        <v>19</v>
      </c>
      <c r="K25" s="15">
        <v>46070</v>
      </c>
      <c r="L25" s="13" t="s">
        <v>91</v>
      </c>
      <c r="M25" s="18" t="s">
        <v>95</v>
      </c>
      <c r="N25" s="13"/>
    </row>
    <row r="26" spans="1:14" ht="38.25" hidden="1">
      <c r="A26" s="11">
        <v>25</v>
      </c>
      <c r="B26" s="11" t="s">
        <v>14</v>
      </c>
      <c r="C26" s="12" t="s">
        <v>96</v>
      </c>
      <c r="D26" s="13" t="s">
        <v>97</v>
      </c>
      <c r="E26" s="13"/>
      <c r="F26" s="13"/>
      <c r="G26" s="14">
        <f>E26*F26</f>
        <v>0</v>
      </c>
      <c r="H26" s="11" t="s">
        <v>17</v>
      </c>
      <c r="I26" s="13" t="s">
        <v>98</v>
      </c>
      <c r="J26" s="11" t="s">
        <v>19</v>
      </c>
      <c r="K26" s="15">
        <v>46070</v>
      </c>
      <c r="L26" s="13" t="s">
        <v>91</v>
      </c>
      <c r="M26" s="17"/>
      <c r="N26" s="15">
        <v>46070</v>
      </c>
    </row>
    <row r="27" spans="1:14" ht="107.25" hidden="1">
      <c r="A27" s="11">
        <v>26</v>
      </c>
      <c r="B27" s="11" t="s">
        <v>14</v>
      </c>
      <c r="C27" s="12" t="s">
        <v>99</v>
      </c>
      <c r="D27" s="13" t="s">
        <v>68</v>
      </c>
      <c r="E27" s="13">
        <v>2</v>
      </c>
      <c r="F27" s="13">
        <v>3</v>
      </c>
      <c r="G27" s="14">
        <f>E27*F27</f>
        <v>6</v>
      </c>
      <c r="H27" s="11" t="s">
        <v>17</v>
      </c>
      <c r="I27" s="13" t="s">
        <v>100</v>
      </c>
      <c r="J27" s="11" t="s">
        <v>19</v>
      </c>
      <c r="K27" s="15">
        <v>46072</v>
      </c>
      <c r="L27" s="13" t="s">
        <v>101</v>
      </c>
      <c r="M27" s="18" t="s">
        <v>102</v>
      </c>
      <c r="N27" s="15">
        <v>46080</v>
      </c>
    </row>
    <row r="28" spans="1:14" ht="166.5" hidden="1">
      <c r="A28" s="11">
        <v>27</v>
      </c>
      <c r="B28" s="11" t="s">
        <v>14</v>
      </c>
      <c r="C28" s="12" t="s">
        <v>103</v>
      </c>
      <c r="D28" s="13" t="s">
        <v>26</v>
      </c>
      <c r="E28" s="13">
        <v>4</v>
      </c>
      <c r="F28" s="13">
        <v>1</v>
      </c>
      <c r="G28" s="14">
        <f>E28*F28</f>
        <v>4</v>
      </c>
      <c r="H28" s="11" t="s">
        <v>104</v>
      </c>
      <c r="I28" s="13" t="s">
        <v>105</v>
      </c>
      <c r="J28" s="11"/>
      <c r="K28" s="15">
        <v>46076</v>
      </c>
      <c r="L28" s="13" t="s">
        <v>16</v>
      </c>
      <c r="M28" s="18" t="s">
        <v>106</v>
      </c>
      <c r="N28" s="13"/>
    </row>
    <row r="29" spans="1:14" ht="48">
      <c r="A29" s="11">
        <v>28</v>
      </c>
      <c r="B29" s="11" t="s">
        <v>14</v>
      </c>
      <c r="C29" s="12" t="s">
        <v>107</v>
      </c>
      <c r="D29" s="13" t="s">
        <v>26</v>
      </c>
      <c r="E29" s="13">
        <v>5</v>
      </c>
      <c r="F29" s="13">
        <v>4</v>
      </c>
      <c r="G29" s="14">
        <f>E29*F29</f>
        <v>20</v>
      </c>
      <c r="H29" s="11" t="s">
        <v>27</v>
      </c>
      <c r="I29" s="13" t="s">
        <v>108</v>
      </c>
      <c r="J29" s="11" t="s">
        <v>19</v>
      </c>
      <c r="K29" s="15">
        <v>46080</v>
      </c>
      <c r="L29" s="13" t="s">
        <v>60</v>
      </c>
      <c r="M29" s="18" t="s">
        <v>109</v>
      </c>
      <c r="N29" s="13"/>
    </row>
    <row r="30" spans="1:14" ht="36.75" hidden="1" customHeight="1">
      <c r="A30" s="11">
        <v>29</v>
      </c>
      <c r="B30" s="11" t="s">
        <v>14</v>
      </c>
      <c r="C30" s="12" t="s">
        <v>110</v>
      </c>
      <c r="D30" s="13" t="s">
        <v>26</v>
      </c>
      <c r="E30" s="13"/>
      <c r="F30" s="13"/>
      <c r="G30" s="14">
        <f>E30*F30</f>
        <v>0</v>
      </c>
      <c r="H30" s="11" t="s">
        <v>78</v>
      </c>
      <c r="I30" s="13" t="s">
        <v>111</v>
      </c>
      <c r="J30" s="11"/>
      <c r="K30" s="15">
        <v>46080</v>
      </c>
      <c r="L30" s="13" t="s">
        <v>60</v>
      </c>
      <c r="M30" s="17"/>
      <c r="N30" s="13"/>
    </row>
    <row r="31" spans="1:14" ht="36" hidden="1">
      <c r="A31" s="10">
        <v>30</v>
      </c>
      <c r="B31" s="11" t="s">
        <v>37</v>
      </c>
      <c r="C31" s="12" t="s">
        <v>112</v>
      </c>
      <c r="D31" s="13"/>
      <c r="E31" s="13"/>
      <c r="F31" s="13"/>
      <c r="G31" s="14">
        <f>E31*F31</f>
        <v>0</v>
      </c>
      <c r="H31" s="11" t="s">
        <v>17</v>
      </c>
      <c r="I31" s="13"/>
      <c r="J31" s="11"/>
      <c r="K31" s="15">
        <v>46080</v>
      </c>
      <c r="L31" s="13" t="s">
        <v>16</v>
      </c>
      <c r="M31" s="17" t="s">
        <v>113</v>
      </c>
      <c r="N31" s="15">
        <v>46080</v>
      </c>
    </row>
    <row r="32" spans="1:14" ht="12.75" hidden="1">
      <c r="A32" s="11">
        <v>31</v>
      </c>
      <c r="B32" s="11" t="s">
        <v>37</v>
      </c>
      <c r="C32" s="12" t="s">
        <v>114</v>
      </c>
      <c r="D32" s="13" t="s">
        <v>16</v>
      </c>
      <c r="E32" s="13"/>
      <c r="F32" s="13"/>
      <c r="G32" s="14">
        <f>E32*F32</f>
        <v>0</v>
      </c>
      <c r="H32" s="11" t="s">
        <v>17</v>
      </c>
      <c r="I32" s="13"/>
      <c r="J32" s="11"/>
      <c r="K32" s="15">
        <v>46084</v>
      </c>
      <c r="L32" s="13" t="s">
        <v>16</v>
      </c>
      <c r="M32" s="21"/>
      <c r="N32" s="19">
        <v>46084</v>
      </c>
    </row>
    <row r="33" spans="1:14" ht="72" hidden="1">
      <c r="A33" s="11">
        <v>32</v>
      </c>
      <c r="B33" s="11" t="s">
        <v>37</v>
      </c>
      <c r="C33" s="12" t="s">
        <v>115</v>
      </c>
      <c r="D33" s="13" t="s">
        <v>116</v>
      </c>
      <c r="E33" s="13"/>
      <c r="F33" s="13"/>
      <c r="G33" s="14"/>
      <c r="H33" s="11" t="s">
        <v>17</v>
      </c>
      <c r="I33" s="12" t="s">
        <v>117</v>
      </c>
      <c r="J33" s="11"/>
      <c r="K33" s="15">
        <v>46084</v>
      </c>
      <c r="L33" s="17" t="s">
        <v>31</v>
      </c>
      <c r="M33" s="17" t="s">
        <v>118</v>
      </c>
      <c r="N33" s="15">
        <v>46104</v>
      </c>
    </row>
    <row r="34" spans="1:14" ht="12.75" hidden="1">
      <c r="A34" s="11">
        <v>33</v>
      </c>
      <c r="B34" s="11" t="s">
        <v>37</v>
      </c>
      <c r="C34" s="12" t="s">
        <v>119</v>
      </c>
      <c r="D34" s="13"/>
      <c r="E34" s="13"/>
      <c r="F34" s="13"/>
      <c r="G34" s="14">
        <f>E34*F34</f>
        <v>0</v>
      </c>
      <c r="H34" s="11"/>
      <c r="I34" s="13"/>
      <c r="J34" s="11"/>
      <c r="K34" s="15">
        <v>46080</v>
      </c>
      <c r="L34" s="13" t="s">
        <v>16</v>
      </c>
      <c r="M34" s="20" t="s">
        <v>120</v>
      </c>
      <c r="N34" s="22">
        <v>46085</v>
      </c>
    </row>
    <row r="35" spans="1:14" ht="98.25" hidden="1" customHeight="1">
      <c r="A35" s="11">
        <v>38</v>
      </c>
      <c r="B35" s="13" t="s">
        <v>121</v>
      </c>
      <c r="C35" s="18" t="s">
        <v>122</v>
      </c>
      <c r="D35" s="13" t="s">
        <v>68</v>
      </c>
      <c r="E35" s="13">
        <v>5</v>
      </c>
      <c r="F35" s="13">
        <v>5</v>
      </c>
      <c r="G35" s="13">
        <v>25</v>
      </c>
      <c r="H35" s="13" t="s">
        <v>78</v>
      </c>
      <c r="I35" s="13" t="s">
        <v>123</v>
      </c>
      <c r="J35" s="13" t="s">
        <v>124</v>
      </c>
      <c r="K35" s="15">
        <v>46093</v>
      </c>
      <c r="L35" s="13" t="s">
        <v>125</v>
      </c>
      <c r="M35" s="17" t="s">
        <v>126</v>
      </c>
      <c r="N35" s="13"/>
    </row>
    <row r="36" spans="1:14" ht="85.5" hidden="1">
      <c r="A36" s="11">
        <v>34</v>
      </c>
      <c r="B36" s="11"/>
      <c r="C36" s="12" t="s">
        <v>127</v>
      </c>
      <c r="D36" s="13"/>
      <c r="E36" s="13"/>
      <c r="F36" s="13"/>
      <c r="G36" s="14">
        <f>E36*F36</f>
        <v>0</v>
      </c>
      <c r="H36" s="11" t="s">
        <v>104</v>
      </c>
      <c r="I36" s="13"/>
      <c r="J36" s="11"/>
      <c r="K36" s="15">
        <v>46094</v>
      </c>
      <c r="L36" s="13" t="s">
        <v>128</v>
      </c>
      <c r="M36" s="18" t="s">
        <v>129</v>
      </c>
      <c r="N36" s="13"/>
    </row>
    <row r="37" spans="1:14" ht="12.75">
      <c r="A37" s="11">
        <v>35</v>
      </c>
      <c r="B37" s="11"/>
      <c r="C37" s="12" t="s">
        <v>130</v>
      </c>
      <c r="D37" s="13" t="s">
        <v>26</v>
      </c>
      <c r="E37" s="13">
        <v>4</v>
      </c>
      <c r="F37" s="13">
        <v>5</v>
      </c>
      <c r="G37" s="14">
        <f>E37*F37</f>
        <v>20</v>
      </c>
      <c r="H37" s="11" t="s">
        <v>27</v>
      </c>
      <c r="I37" s="13"/>
      <c r="J37" s="11"/>
      <c r="K37" s="15">
        <v>46097</v>
      </c>
      <c r="L37" s="13" t="s">
        <v>125</v>
      </c>
      <c r="M37" s="17"/>
      <c r="N37" s="13"/>
    </row>
    <row r="38" spans="1:14" ht="60">
      <c r="A38" s="11">
        <v>39</v>
      </c>
      <c r="B38" s="13" t="s">
        <v>131</v>
      </c>
      <c r="C38" s="12" t="s">
        <v>132</v>
      </c>
      <c r="D38" s="12" t="s">
        <v>22</v>
      </c>
      <c r="E38" s="13">
        <v>2</v>
      </c>
      <c r="F38" s="13">
        <v>3</v>
      </c>
      <c r="G38" s="13">
        <v>6</v>
      </c>
      <c r="H38" s="13" t="s">
        <v>17</v>
      </c>
      <c r="I38" s="13" t="s">
        <v>133</v>
      </c>
      <c r="J38" s="13" t="s">
        <v>124</v>
      </c>
      <c r="K38" s="15">
        <v>46101</v>
      </c>
      <c r="L38" s="13" t="s">
        <v>125</v>
      </c>
      <c r="M38" s="18" t="s">
        <v>134</v>
      </c>
      <c r="N38" s="15">
        <v>46129</v>
      </c>
    </row>
    <row r="39" spans="1:14" ht="48" hidden="1">
      <c r="A39" s="11">
        <v>36</v>
      </c>
      <c r="B39" s="11" t="s">
        <v>76</v>
      </c>
      <c r="C39" s="12" t="s">
        <v>135</v>
      </c>
      <c r="D39" s="34" t="s">
        <v>26</v>
      </c>
      <c r="E39" s="34"/>
      <c r="F39" s="34"/>
      <c r="G39" s="35">
        <f>E39*F39</f>
        <v>0</v>
      </c>
      <c r="H39" s="32" t="s">
        <v>78</v>
      </c>
      <c r="I39" s="34"/>
      <c r="J39" s="32"/>
      <c r="K39" s="19">
        <v>46104</v>
      </c>
      <c r="L39" s="34" t="s">
        <v>16</v>
      </c>
      <c r="M39" s="33" t="s">
        <v>136</v>
      </c>
      <c r="N39" s="34"/>
    </row>
    <row r="40" spans="1:14" ht="96" hidden="1">
      <c r="A40" s="10">
        <v>37</v>
      </c>
      <c r="B40" s="2" t="s">
        <v>14</v>
      </c>
      <c r="C40" s="18" t="s">
        <v>137</v>
      </c>
      <c r="D40" s="13" t="s">
        <v>138</v>
      </c>
      <c r="E40" s="13">
        <v>2</v>
      </c>
      <c r="F40" s="13">
        <v>2</v>
      </c>
      <c r="G40" s="14">
        <f>E40*F40</f>
        <v>4</v>
      </c>
      <c r="H40" s="32" t="s">
        <v>78</v>
      </c>
      <c r="I40" s="12" t="s">
        <v>139</v>
      </c>
      <c r="J40" s="11"/>
      <c r="K40" s="15">
        <v>46105</v>
      </c>
      <c r="L40" s="34" t="s">
        <v>31</v>
      </c>
      <c r="M40" s="13"/>
      <c r="N40" s="13"/>
    </row>
    <row r="41" spans="1:14" ht="12.75" hidden="1">
      <c r="A41" s="11">
        <v>40</v>
      </c>
      <c r="B41" s="11" t="s">
        <v>37</v>
      </c>
      <c r="C41" s="12" t="s">
        <v>140</v>
      </c>
      <c r="D41" s="13" t="s">
        <v>141</v>
      </c>
      <c r="E41" s="13"/>
      <c r="F41" s="13"/>
      <c r="G41" s="14">
        <f>E41*F41</f>
        <v>0</v>
      </c>
      <c r="H41" s="11" t="s">
        <v>17</v>
      </c>
      <c r="I41" s="16" t="s">
        <v>142</v>
      </c>
      <c r="J41" s="11"/>
      <c r="K41" s="15">
        <v>46125</v>
      </c>
      <c r="L41" s="13" t="s">
        <v>16</v>
      </c>
      <c r="M41" s="17" t="s">
        <v>143</v>
      </c>
      <c r="N41" s="15">
        <v>46125</v>
      </c>
    </row>
    <row r="42" spans="1:14" ht="12.75" hidden="1">
      <c r="A42" s="11">
        <v>41</v>
      </c>
      <c r="B42" s="11" t="s">
        <v>37</v>
      </c>
      <c r="C42" s="12" t="s">
        <v>144</v>
      </c>
      <c r="D42" s="13" t="s">
        <v>141</v>
      </c>
      <c r="E42" s="13"/>
      <c r="F42" s="13"/>
      <c r="G42" s="14">
        <f>E42*F42</f>
        <v>0</v>
      </c>
      <c r="H42" s="11" t="s">
        <v>17</v>
      </c>
      <c r="I42" s="16" t="s">
        <v>142</v>
      </c>
      <c r="J42" s="11"/>
      <c r="K42" s="15">
        <v>46125</v>
      </c>
      <c r="L42" s="13" t="s">
        <v>16</v>
      </c>
      <c r="M42" s="17" t="s">
        <v>143</v>
      </c>
      <c r="N42" s="15">
        <v>46125</v>
      </c>
    </row>
    <row r="43" spans="1:14" ht="12.75" hidden="1">
      <c r="A43" s="11">
        <v>42</v>
      </c>
      <c r="B43" s="11" t="s">
        <v>37</v>
      </c>
      <c r="C43" s="12" t="s">
        <v>145</v>
      </c>
      <c r="D43" s="13" t="s">
        <v>141</v>
      </c>
      <c r="E43" s="13"/>
      <c r="F43" s="13"/>
      <c r="G43" s="14">
        <f>E43*F43</f>
        <v>0</v>
      </c>
      <c r="H43" s="11" t="s">
        <v>17</v>
      </c>
      <c r="I43" s="16" t="s">
        <v>142</v>
      </c>
      <c r="J43" s="11"/>
      <c r="K43" s="15">
        <v>46125</v>
      </c>
      <c r="L43" s="13" t="s">
        <v>16</v>
      </c>
      <c r="M43" s="17" t="s">
        <v>146</v>
      </c>
      <c r="N43" s="15">
        <v>46125</v>
      </c>
    </row>
    <row r="44" spans="1:14" ht="12.75" hidden="1">
      <c r="A44" s="11">
        <v>43</v>
      </c>
      <c r="B44" s="11" t="s">
        <v>37</v>
      </c>
      <c r="C44" s="12" t="s">
        <v>147</v>
      </c>
      <c r="D44" s="13" t="s">
        <v>141</v>
      </c>
      <c r="E44" s="13"/>
      <c r="F44" s="13"/>
      <c r="G44" s="14">
        <f>E44*F44</f>
        <v>0</v>
      </c>
      <c r="H44" s="11" t="s">
        <v>17</v>
      </c>
      <c r="I44" s="16" t="s">
        <v>142</v>
      </c>
      <c r="J44" s="11"/>
      <c r="K44" s="15">
        <v>46125</v>
      </c>
      <c r="L44" s="13" t="s">
        <v>16</v>
      </c>
      <c r="M44" s="17" t="s">
        <v>146</v>
      </c>
      <c r="N44" s="15">
        <v>46125</v>
      </c>
    </row>
    <row r="45" spans="1:14" ht="12.75" hidden="1">
      <c r="A45" s="10">
        <v>44</v>
      </c>
      <c r="B45" s="11" t="s">
        <v>37</v>
      </c>
      <c r="C45" s="12" t="s">
        <v>148</v>
      </c>
      <c r="D45" s="13" t="s">
        <v>141</v>
      </c>
      <c r="E45" s="13"/>
      <c r="F45" s="13"/>
      <c r="G45" s="14">
        <f>E45*F45</f>
        <v>0</v>
      </c>
      <c r="H45" s="11" t="s">
        <v>17</v>
      </c>
      <c r="I45" s="16" t="s">
        <v>142</v>
      </c>
      <c r="J45" s="11"/>
      <c r="K45" s="15">
        <v>46125</v>
      </c>
      <c r="L45" s="13" t="s">
        <v>16</v>
      </c>
      <c r="M45" s="17" t="s">
        <v>149</v>
      </c>
      <c r="N45" s="15">
        <v>46125</v>
      </c>
    </row>
    <row r="46" spans="1:14" ht="12.75" hidden="1">
      <c r="A46" s="11">
        <v>45</v>
      </c>
      <c r="B46" s="11" t="s">
        <v>37</v>
      </c>
      <c r="C46" s="12" t="s">
        <v>150</v>
      </c>
      <c r="D46" s="13" t="s">
        <v>141</v>
      </c>
      <c r="E46" s="13"/>
      <c r="F46" s="13"/>
      <c r="G46" s="14">
        <f>E46*F46</f>
        <v>0</v>
      </c>
      <c r="H46" s="11" t="s">
        <v>17</v>
      </c>
      <c r="I46" s="16" t="s">
        <v>142</v>
      </c>
      <c r="J46" s="11"/>
      <c r="K46" s="15">
        <v>46125</v>
      </c>
      <c r="L46" s="13" t="s">
        <v>16</v>
      </c>
      <c r="M46" s="17" t="s">
        <v>151</v>
      </c>
      <c r="N46" s="15">
        <v>46125</v>
      </c>
    </row>
    <row r="47" spans="1:14" ht="12.75" hidden="1">
      <c r="A47" s="11">
        <v>46</v>
      </c>
      <c r="B47" s="11" t="s">
        <v>37</v>
      </c>
      <c r="C47" s="12" t="s">
        <v>152</v>
      </c>
      <c r="D47" s="13" t="s">
        <v>141</v>
      </c>
      <c r="E47" s="13"/>
      <c r="F47" s="13"/>
      <c r="G47" s="14">
        <f>E47*F47</f>
        <v>0</v>
      </c>
      <c r="H47" s="11" t="s">
        <v>17</v>
      </c>
      <c r="I47" s="16" t="s">
        <v>142</v>
      </c>
      <c r="J47" s="11"/>
      <c r="K47" s="15">
        <v>46125</v>
      </c>
      <c r="L47" s="13" t="s">
        <v>16</v>
      </c>
      <c r="M47" s="17" t="s">
        <v>153</v>
      </c>
      <c r="N47" s="15">
        <v>46125</v>
      </c>
    </row>
    <row r="48" spans="1:14" ht="12.75" hidden="1">
      <c r="A48" s="11">
        <v>47</v>
      </c>
      <c r="B48" s="11" t="s">
        <v>37</v>
      </c>
      <c r="C48" s="12" t="s">
        <v>154</v>
      </c>
      <c r="D48" s="13" t="s">
        <v>141</v>
      </c>
      <c r="E48" s="13"/>
      <c r="F48" s="13"/>
      <c r="G48" s="14">
        <f>E48*F48</f>
        <v>0</v>
      </c>
      <c r="H48" s="11" t="s">
        <v>17</v>
      </c>
      <c r="I48" s="16" t="s">
        <v>142</v>
      </c>
      <c r="J48" s="11"/>
      <c r="K48" s="15">
        <v>46125</v>
      </c>
      <c r="L48" s="13" t="s">
        <v>16</v>
      </c>
      <c r="M48" s="17" t="s">
        <v>153</v>
      </c>
      <c r="N48" s="15">
        <v>46125</v>
      </c>
    </row>
    <row r="49" spans="1:14" ht="12.75" hidden="1">
      <c r="A49" s="11">
        <v>48</v>
      </c>
      <c r="B49" s="11" t="s">
        <v>37</v>
      </c>
      <c r="C49" s="12" t="s">
        <v>155</v>
      </c>
      <c r="D49" s="13" t="s">
        <v>141</v>
      </c>
      <c r="E49" s="13"/>
      <c r="F49" s="13"/>
      <c r="G49" s="14">
        <f>E49*F49</f>
        <v>0</v>
      </c>
      <c r="H49" s="11" t="s">
        <v>17</v>
      </c>
      <c r="I49" s="16" t="s">
        <v>142</v>
      </c>
      <c r="J49" s="11"/>
      <c r="K49" s="15">
        <v>46125</v>
      </c>
      <c r="L49" s="13" t="s">
        <v>16</v>
      </c>
      <c r="M49" s="17" t="s">
        <v>153</v>
      </c>
      <c r="N49" s="15">
        <v>46125</v>
      </c>
    </row>
    <row r="50" spans="1:14" ht="12.75" hidden="1">
      <c r="A50" s="11">
        <v>49</v>
      </c>
      <c r="B50" s="11" t="s">
        <v>37</v>
      </c>
      <c r="C50" s="12" t="s">
        <v>156</v>
      </c>
      <c r="D50" s="13" t="s">
        <v>141</v>
      </c>
      <c r="E50" s="13"/>
      <c r="F50" s="13"/>
      <c r="G50" s="14">
        <f>E50*F50</f>
        <v>0</v>
      </c>
      <c r="H50" s="11" t="s">
        <v>17</v>
      </c>
      <c r="I50" s="16" t="s">
        <v>142</v>
      </c>
      <c r="J50" s="11"/>
      <c r="K50" s="15">
        <v>46125</v>
      </c>
      <c r="L50" s="13" t="s">
        <v>16</v>
      </c>
      <c r="M50" s="17" t="s">
        <v>153</v>
      </c>
      <c r="N50" s="15">
        <v>46125</v>
      </c>
    </row>
    <row r="51" spans="1:14" ht="12.75" hidden="1">
      <c r="A51" s="11">
        <v>50</v>
      </c>
      <c r="B51" s="11" t="s">
        <v>14</v>
      </c>
      <c r="C51" s="12" t="s">
        <v>157</v>
      </c>
      <c r="D51" s="13"/>
      <c r="E51" s="13"/>
      <c r="F51" s="13"/>
      <c r="G51" s="14">
        <f>E51*F51</f>
        <v>0</v>
      </c>
      <c r="H51" s="11" t="s">
        <v>78</v>
      </c>
      <c r="I51" s="13" t="s">
        <v>158</v>
      </c>
      <c r="J51" s="11" t="s">
        <v>19</v>
      </c>
      <c r="K51" s="15">
        <v>46129</v>
      </c>
      <c r="L51" s="13" t="s">
        <v>16</v>
      </c>
      <c r="M51" s="17"/>
      <c r="N51" s="13"/>
    </row>
    <row r="52" spans="1:14" ht="12.75" hidden="1">
      <c r="A52" s="10">
        <v>51</v>
      </c>
      <c r="B52" s="11" t="s">
        <v>14</v>
      </c>
      <c r="C52" s="12" t="s">
        <v>159</v>
      </c>
      <c r="D52" s="13"/>
      <c r="E52" s="13"/>
      <c r="F52" s="13"/>
      <c r="G52" s="14">
        <f>E52*F52</f>
        <v>0</v>
      </c>
      <c r="H52" s="11" t="s">
        <v>78</v>
      </c>
      <c r="I52" s="13" t="s">
        <v>160</v>
      </c>
      <c r="J52" s="11"/>
      <c r="K52" s="15">
        <v>46129</v>
      </c>
      <c r="L52" s="13" t="s">
        <v>16</v>
      </c>
      <c r="M52" s="17"/>
      <c r="N52" s="13"/>
    </row>
    <row r="53" spans="1:14" ht="12.75" hidden="1">
      <c r="A53" s="11">
        <v>52</v>
      </c>
      <c r="B53" s="11"/>
      <c r="C53" s="12"/>
      <c r="D53" s="13"/>
      <c r="E53" s="13"/>
      <c r="F53" s="13"/>
      <c r="G53" s="14">
        <f>E53*F53</f>
        <v>0</v>
      </c>
      <c r="H53" s="11"/>
      <c r="I53" s="13"/>
      <c r="J53" s="11"/>
      <c r="K53" s="15"/>
      <c r="L53" s="13"/>
      <c r="M53" s="17"/>
      <c r="N53" s="13"/>
    </row>
    <row r="54" spans="1:14" ht="12.75" hidden="1">
      <c r="A54" s="11">
        <v>53</v>
      </c>
      <c r="B54" s="11"/>
      <c r="C54" s="12"/>
      <c r="D54" s="13"/>
      <c r="E54" s="13"/>
      <c r="F54" s="13"/>
      <c r="G54" s="14">
        <f>E54*F54</f>
        <v>0</v>
      </c>
      <c r="H54" s="11"/>
      <c r="I54" s="13"/>
      <c r="J54" s="11"/>
      <c r="K54" s="15"/>
      <c r="L54" s="13"/>
      <c r="M54" s="17"/>
      <c r="N54" s="13"/>
    </row>
    <row r="55" spans="1:14" ht="12.75" hidden="1">
      <c r="A55" s="11">
        <v>54</v>
      </c>
      <c r="B55" s="11"/>
      <c r="C55" s="12"/>
      <c r="D55" s="13"/>
      <c r="E55" s="13"/>
      <c r="F55" s="13"/>
      <c r="G55" s="14">
        <f>E55*F55</f>
        <v>0</v>
      </c>
      <c r="H55" s="11"/>
      <c r="I55" s="13"/>
      <c r="J55" s="11"/>
      <c r="K55" s="15"/>
      <c r="L55" s="13"/>
      <c r="M55" s="17"/>
      <c r="N55" s="13"/>
    </row>
    <row r="56" spans="1:14" ht="12.75" hidden="1">
      <c r="A56" s="11">
        <v>55</v>
      </c>
      <c r="B56" s="11"/>
      <c r="C56" s="12"/>
      <c r="D56" s="13"/>
      <c r="E56" s="13"/>
      <c r="F56" s="13"/>
      <c r="G56" s="14">
        <f>E56*F56</f>
        <v>0</v>
      </c>
      <c r="H56" s="11"/>
      <c r="I56" s="13"/>
      <c r="J56" s="11"/>
      <c r="K56" s="15"/>
      <c r="L56" s="13"/>
      <c r="M56" s="17"/>
      <c r="N56" s="13"/>
    </row>
    <row r="57" spans="1:14" ht="12.75" hidden="1">
      <c r="A57" s="11">
        <v>56</v>
      </c>
      <c r="B57" s="11"/>
      <c r="C57" s="12"/>
      <c r="D57" s="13"/>
      <c r="E57" s="13"/>
      <c r="F57" s="13"/>
      <c r="G57" s="14">
        <f>E57*F57</f>
        <v>0</v>
      </c>
      <c r="H57" s="11"/>
      <c r="I57" s="13"/>
      <c r="J57" s="11"/>
      <c r="K57" s="15"/>
      <c r="L57" s="13"/>
      <c r="M57" s="17"/>
      <c r="N57" s="13"/>
    </row>
    <row r="58" spans="1:14" ht="12.75" hidden="1">
      <c r="A58" s="11">
        <v>57</v>
      </c>
      <c r="B58" s="11"/>
      <c r="C58" s="12"/>
      <c r="D58" s="13"/>
      <c r="E58" s="13"/>
      <c r="F58" s="13"/>
      <c r="G58" s="14">
        <f>E58*F58</f>
        <v>0</v>
      </c>
      <c r="H58" s="11"/>
      <c r="I58" s="13"/>
      <c r="J58" s="11"/>
      <c r="K58" s="15"/>
      <c r="L58" s="13"/>
      <c r="M58" s="17"/>
      <c r="N58" s="13"/>
    </row>
    <row r="59" spans="1:14" ht="12.75" hidden="1">
      <c r="A59" s="10">
        <v>58</v>
      </c>
      <c r="B59" s="11"/>
      <c r="C59" s="12"/>
      <c r="D59" s="13"/>
      <c r="E59" s="13"/>
      <c r="F59" s="13"/>
      <c r="G59" s="14">
        <f>E59*F59</f>
        <v>0</v>
      </c>
      <c r="H59" s="11"/>
      <c r="I59" s="13"/>
      <c r="J59" s="11"/>
      <c r="K59" s="15"/>
      <c r="L59" s="13"/>
      <c r="M59" s="17"/>
      <c r="N59" s="13"/>
    </row>
    <row r="60" spans="1:14" ht="12.75" hidden="1">
      <c r="A60" s="11">
        <v>59</v>
      </c>
      <c r="B60" s="11"/>
      <c r="C60" s="12"/>
      <c r="D60" s="13"/>
      <c r="E60" s="13"/>
      <c r="F60" s="13"/>
      <c r="G60" s="14">
        <f>E60*F60</f>
        <v>0</v>
      </c>
      <c r="H60" s="11"/>
      <c r="I60" s="13"/>
      <c r="J60" s="11"/>
      <c r="K60" s="15"/>
      <c r="L60" s="13"/>
      <c r="M60" s="17"/>
      <c r="N60" s="13"/>
    </row>
    <row r="61" spans="1:14" ht="12.75" hidden="1">
      <c r="A61" s="11">
        <v>60</v>
      </c>
      <c r="B61" s="11"/>
      <c r="C61" s="12"/>
      <c r="D61" s="13"/>
      <c r="E61" s="13"/>
      <c r="F61" s="13"/>
      <c r="G61" s="14">
        <f>E61*F61</f>
        <v>0</v>
      </c>
      <c r="H61" s="11"/>
      <c r="I61" s="13"/>
      <c r="J61" s="11"/>
      <c r="K61" s="15"/>
      <c r="L61" s="13"/>
      <c r="M61" s="17"/>
      <c r="N61" s="13"/>
    </row>
    <row r="62" spans="1:14" ht="12.75" hidden="1">
      <c r="A62" s="11">
        <v>61</v>
      </c>
      <c r="B62" s="11"/>
      <c r="C62" s="12"/>
      <c r="D62" s="13"/>
      <c r="E62" s="13"/>
      <c r="F62" s="13"/>
      <c r="G62" s="14">
        <f>E62*F62</f>
        <v>0</v>
      </c>
      <c r="H62" s="11"/>
      <c r="I62" s="13"/>
      <c r="J62" s="11"/>
      <c r="K62" s="15"/>
      <c r="L62" s="13"/>
      <c r="M62" s="17"/>
      <c r="N62" s="13"/>
    </row>
    <row r="63" spans="1:14" ht="12.75" hidden="1">
      <c r="A63" s="11">
        <v>62</v>
      </c>
      <c r="B63" s="11"/>
      <c r="C63" s="12"/>
      <c r="D63" s="13"/>
      <c r="E63" s="13"/>
      <c r="F63" s="13"/>
      <c r="G63" s="14">
        <f>E63*F63</f>
        <v>0</v>
      </c>
      <c r="H63" s="11"/>
      <c r="I63" s="13"/>
      <c r="J63" s="11"/>
      <c r="K63" s="15"/>
      <c r="L63" s="13"/>
      <c r="M63" s="17"/>
      <c r="N63" s="13"/>
    </row>
    <row r="64" spans="1:14" ht="12.75" hidden="1">
      <c r="A64" s="11">
        <v>63</v>
      </c>
      <c r="B64" s="11"/>
      <c r="C64" s="12"/>
      <c r="D64" s="13"/>
      <c r="E64" s="13"/>
      <c r="F64" s="13"/>
      <c r="G64" s="14">
        <f>E64*F64</f>
        <v>0</v>
      </c>
      <c r="H64" s="11"/>
      <c r="I64" s="13"/>
      <c r="J64" s="11"/>
      <c r="K64" s="15"/>
      <c r="L64" s="13"/>
      <c r="M64" s="17"/>
      <c r="N64" s="13"/>
    </row>
    <row r="65" spans="1:14" ht="12.75" hidden="1">
      <c r="A65" s="11">
        <v>64</v>
      </c>
      <c r="B65" s="11"/>
      <c r="C65" s="12"/>
      <c r="D65" s="13"/>
      <c r="E65" s="13"/>
      <c r="F65" s="13"/>
      <c r="G65" s="14">
        <f>E65*F65</f>
        <v>0</v>
      </c>
      <c r="H65" s="11"/>
      <c r="I65" s="13"/>
      <c r="J65" s="11"/>
      <c r="K65" s="15"/>
      <c r="L65" s="13"/>
      <c r="M65" s="17"/>
      <c r="N65" s="13"/>
    </row>
    <row r="66" spans="1:14" ht="12.75" hidden="1">
      <c r="A66" s="10">
        <v>65</v>
      </c>
      <c r="B66" s="11"/>
      <c r="C66" s="12"/>
      <c r="D66" s="13"/>
      <c r="E66" s="13"/>
      <c r="F66" s="13"/>
      <c r="G66" s="14">
        <f>E66*F66</f>
        <v>0</v>
      </c>
      <c r="H66" s="11"/>
      <c r="I66" s="13"/>
      <c r="J66" s="11"/>
      <c r="K66" s="15"/>
      <c r="L66" s="13"/>
      <c r="M66" s="17"/>
      <c r="N66" s="13"/>
    </row>
    <row r="67" spans="1:14" ht="12.75" hidden="1">
      <c r="A67" s="11">
        <v>66</v>
      </c>
      <c r="B67" s="11"/>
      <c r="C67" s="12"/>
      <c r="D67" s="13"/>
      <c r="E67" s="13"/>
      <c r="F67" s="13"/>
      <c r="G67" s="14">
        <f>E67*F67</f>
        <v>0</v>
      </c>
      <c r="H67" s="11"/>
      <c r="I67" s="13"/>
      <c r="J67" s="11"/>
      <c r="K67" s="15"/>
      <c r="L67" s="13"/>
      <c r="M67" s="17"/>
      <c r="N67" s="13"/>
    </row>
    <row r="68" spans="1:14" ht="12.75" hidden="1">
      <c r="A68" s="11">
        <v>67</v>
      </c>
      <c r="B68" s="11"/>
      <c r="C68" s="12"/>
      <c r="D68" s="13"/>
      <c r="E68" s="13"/>
      <c r="F68" s="13"/>
      <c r="G68" s="14">
        <f>E68*F68</f>
        <v>0</v>
      </c>
      <c r="H68" s="11"/>
      <c r="I68" s="13"/>
      <c r="J68" s="11"/>
      <c r="K68" s="15"/>
      <c r="L68" s="13"/>
      <c r="M68" s="17"/>
      <c r="N68" s="13"/>
    </row>
    <row r="69" spans="1:14" ht="12.75" hidden="1">
      <c r="A69" s="11">
        <v>68</v>
      </c>
      <c r="B69" s="11"/>
      <c r="C69" s="12"/>
      <c r="D69" s="13"/>
      <c r="E69" s="13"/>
      <c r="F69" s="13"/>
      <c r="G69" s="14">
        <f>E69*F69</f>
        <v>0</v>
      </c>
      <c r="H69" s="11"/>
      <c r="I69" s="13"/>
      <c r="J69" s="11"/>
      <c r="K69" s="15"/>
      <c r="L69" s="13"/>
      <c r="M69" s="17"/>
      <c r="N69" s="13"/>
    </row>
    <row r="70" spans="1:14" ht="12.75" hidden="1">
      <c r="A70" s="11">
        <v>69</v>
      </c>
      <c r="B70" s="11"/>
      <c r="C70" s="12"/>
      <c r="D70" s="13"/>
      <c r="E70" s="13"/>
      <c r="F70" s="13"/>
      <c r="G70" s="14">
        <f>E70*F70</f>
        <v>0</v>
      </c>
      <c r="H70" s="11"/>
      <c r="I70" s="13"/>
      <c r="J70" s="11"/>
      <c r="K70" s="15"/>
      <c r="L70" s="13"/>
      <c r="M70" s="17"/>
      <c r="N70" s="13"/>
    </row>
    <row r="71" spans="1:14" ht="12.75" hidden="1">
      <c r="A71" s="11">
        <v>70</v>
      </c>
      <c r="B71" s="11"/>
      <c r="C71" s="12"/>
      <c r="D71" s="13"/>
      <c r="E71" s="13"/>
      <c r="F71" s="13"/>
      <c r="G71" s="14">
        <f>E71*F71</f>
        <v>0</v>
      </c>
      <c r="H71" s="11"/>
      <c r="I71" s="13"/>
      <c r="J71" s="11"/>
      <c r="K71" s="15"/>
      <c r="L71" s="13"/>
      <c r="M71" s="17"/>
      <c r="N71" s="13"/>
    </row>
    <row r="72" spans="1:14" ht="12.75" hidden="1">
      <c r="A72" s="11">
        <v>71</v>
      </c>
      <c r="B72" s="11"/>
      <c r="C72" s="12"/>
      <c r="D72" s="13"/>
      <c r="E72" s="13"/>
      <c r="F72" s="13"/>
      <c r="G72" s="14">
        <f>E72*F72</f>
        <v>0</v>
      </c>
      <c r="H72" s="11"/>
      <c r="I72" s="13"/>
      <c r="J72" s="11"/>
      <c r="K72" s="15"/>
      <c r="L72" s="13"/>
      <c r="M72" s="17"/>
      <c r="N72" s="13"/>
    </row>
    <row r="73" spans="1:14" ht="12.75" hidden="1">
      <c r="A73" s="10">
        <v>72</v>
      </c>
      <c r="B73" s="11"/>
      <c r="C73" s="12"/>
      <c r="D73" s="13"/>
      <c r="E73" s="13"/>
      <c r="F73" s="13"/>
      <c r="G73" s="14">
        <f>E73*F73</f>
        <v>0</v>
      </c>
      <c r="H73" s="11"/>
      <c r="I73" s="13"/>
      <c r="J73" s="11"/>
      <c r="K73" s="15"/>
      <c r="L73" s="13"/>
      <c r="M73" s="17"/>
      <c r="N73" s="13"/>
    </row>
    <row r="74" spans="1:14" ht="12.75" hidden="1">
      <c r="A74" s="11">
        <v>73</v>
      </c>
      <c r="B74" s="11"/>
      <c r="C74" s="12"/>
      <c r="D74" s="13"/>
      <c r="E74" s="13"/>
      <c r="F74" s="13"/>
      <c r="G74" s="14">
        <f>E74*F74</f>
        <v>0</v>
      </c>
      <c r="H74" s="11"/>
      <c r="I74" s="13"/>
      <c r="J74" s="11"/>
      <c r="K74" s="15"/>
      <c r="L74" s="13"/>
      <c r="M74" s="17"/>
      <c r="N74" s="13"/>
    </row>
    <row r="75" spans="1:14" ht="12.75" hidden="1">
      <c r="A75" s="11">
        <v>74</v>
      </c>
      <c r="B75" s="11"/>
      <c r="C75" s="12"/>
      <c r="D75" s="13"/>
      <c r="E75" s="13"/>
      <c r="F75" s="13"/>
      <c r="G75" s="14">
        <f>E75*F75</f>
        <v>0</v>
      </c>
      <c r="H75" s="11"/>
      <c r="I75" s="13"/>
      <c r="J75" s="11"/>
      <c r="K75" s="15"/>
      <c r="L75" s="13"/>
      <c r="M75" s="17"/>
      <c r="N75" s="13"/>
    </row>
    <row r="76" spans="1:14" ht="12.75" hidden="1">
      <c r="A76" s="11">
        <v>75</v>
      </c>
      <c r="B76" s="11"/>
      <c r="C76" s="12"/>
      <c r="D76" s="13"/>
      <c r="E76" s="13"/>
      <c r="F76" s="13"/>
      <c r="G76" s="14">
        <f>E76*F76</f>
        <v>0</v>
      </c>
      <c r="H76" s="11"/>
      <c r="I76" s="13"/>
      <c r="J76" s="11"/>
      <c r="K76" s="15"/>
      <c r="L76" s="13"/>
      <c r="M76" s="17"/>
      <c r="N76" s="13"/>
    </row>
    <row r="77" spans="1:14" ht="12.75" hidden="1">
      <c r="A77" s="11">
        <v>76</v>
      </c>
      <c r="B77" s="11"/>
      <c r="C77" s="12"/>
      <c r="D77" s="13"/>
      <c r="E77" s="13"/>
      <c r="F77" s="13"/>
      <c r="G77" s="14">
        <f>E77*F77</f>
        <v>0</v>
      </c>
      <c r="H77" s="11"/>
      <c r="I77" s="13"/>
      <c r="J77" s="11"/>
      <c r="K77" s="15"/>
      <c r="L77" s="13"/>
      <c r="M77" s="17"/>
      <c r="N77" s="13"/>
    </row>
    <row r="78" spans="1:14" ht="12.75" hidden="1">
      <c r="A78" s="11">
        <v>77</v>
      </c>
      <c r="B78" s="11"/>
      <c r="C78" s="12"/>
      <c r="D78" s="13"/>
      <c r="E78" s="13"/>
      <c r="F78" s="13"/>
      <c r="G78" s="14">
        <f>E78*F78</f>
        <v>0</v>
      </c>
      <c r="H78" s="11"/>
      <c r="I78" s="13"/>
      <c r="J78" s="11"/>
      <c r="K78" s="15"/>
      <c r="L78" s="13"/>
      <c r="M78" s="17"/>
      <c r="N78" s="13"/>
    </row>
    <row r="79" spans="1:14" ht="12.75" hidden="1">
      <c r="A79" s="11">
        <v>78</v>
      </c>
      <c r="B79" s="11"/>
      <c r="C79" s="12"/>
      <c r="D79" s="13"/>
      <c r="E79" s="13"/>
      <c r="F79" s="13"/>
      <c r="G79" s="14">
        <f>E79*F79</f>
        <v>0</v>
      </c>
      <c r="H79" s="11"/>
      <c r="I79" s="13"/>
      <c r="J79" s="11"/>
      <c r="K79" s="15"/>
      <c r="L79" s="13"/>
      <c r="M79" s="17"/>
      <c r="N79" s="13"/>
    </row>
    <row r="80" spans="1:14" ht="12.75" hidden="1">
      <c r="A80" s="10">
        <v>79</v>
      </c>
      <c r="B80" s="11"/>
      <c r="C80" s="12"/>
      <c r="D80" s="13"/>
      <c r="E80" s="13"/>
      <c r="F80" s="13"/>
      <c r="G80" s="14">
        <f>E80*F80</f>
        <v>0</v>
      </c>
      <c r="H80" s="11"/>
      <c r="I80" s="13"/>
      <c r="J80" s="11"/>
      <c r="K80" s="15"/>
      <c r="L80" s="13"/>
      <c r="M80" s="17"/>
      <c r="N80" s="13"/>
    </row>
    <row r="81" spans="1:14" ht="12.75" hidden="1">
      <c r="A81" s="11">
        <v>80</v>
      </c>
      <c r="B81" s="11"/>
      <c r="C81" s="12"/>
      <c r="D81" s="13"/>
      <c r="E81" s="13"/>
      <c r="F81" s="13"/>
      <c r="G81" s="14">
        <f>E81*F81</f>
        <v>0</v>
      </c>
      <c r="H81" s="11"/>
      <c r="I81" s="13"/>
      <c r="J81" s="11"/>
      <c r="K81" s="15"/>
      <c r="L81" s="13"/>
      <c r="M81" s="17"/>
      <c r="N81" s="13"/>
    </row>
    <row r="82" spans="1:14" ht="12.75" hidden="1">
      <c r="A82" s="11">
        <v>81</v>
      </c>
      <c r="B82" s="11"/>
      <c r="C82" s="12"/>
      <c r="D82" s="13"/>
      <c r="E82" s="13"/>
      <c r="F82" s="13"/>
      <c r="G82" s="14">
        <f>E82*F82</f>
        <v>0</v>
      </c>
      <c r="H82" s="11"/>
      <c r="I82" s="13"/>
      <c r="J82" s="11"/>
      <c r="K82" s="15"/>
      <c r="L82" s="13"/>
      <c r="M82" s="17"/>
      <c r="N82" s="13"/>
    </row>
    <row r="83" spans="1:14" ht="12.75" hidden="1">
      <c r="A83" s="11">
        <v>82</v>
      </c>
      <c r="B83" s="11"/>
      <c r="C83" s="12"/>
      <c r="D83" s="13"/>
      <c r="E83" s="13"/>
      <c r="F83" s="13"/>
      <c r="G83" s="14">
        <f>E83*F83</f>
        <v>0</v>
      </c>
      <c r="H83" s="11"/>
      <c r="I83" s="13"/>
      <c r="J83" s="11"/>
      <c r="K83" s="15"/>
      <c r="L83" s="13"/>
      <c r="M83" s="17"/>
      <c r="N83" s="13"/>
    </row>
    <row r="84" spans="1:14" ht="12.75" hidden="1">
      <c r="A84" s="11">
        <v>83</v>
      </c>
      <c r="B84" s="11"/>
      <c r="C84" s="12"/>
      <c r="D84" s="13"/>
      <c r="E84" s="13"/>
      <c r="F84" s="13"/>
      <c r="G84" s="14">
        <f>E84*F84</f>
        <v>0</v>
      </c>
      <c r="H84" s="11"/>
      <c r="I84" s="13"/>
      <c r="J84" s="11"/>
      <c r="K84" s="15"/>
      <c r="L84" s="13"/>
      <c r="M84" s="17"/>
      <c r="N84" s="13"/>
    </row>
    <row r="85" spans="1:14" ht="12.75" hidden="1">
      <c r="A85" s="11">
        <v>84</v>
      </c>
      <c r="B85" s="11"/>
      <c r="C85" s="12"/>
      <c r="D85" s="13"/>
      <c r="E85" s="13"/>
      <c r="F85" s="13"/>
      <c r="G85" s="14">
        <f>E85*F85</f>
        <v>0</v>
      </c>
      <c r="H85" s="11"/>
      <c r="I85" s="13"/>
      <c r="J85" s="11"/>
      <c r="K85" s="15"/>
      <c r="L85" s="13"/>
      <c r="M85" s="17"/>
      <c r="N85" s="13"/>
    </row>
    <row r="86" spans="1:14" ht="12.75" hidden="1">
      <c r="A86" s="11">
        <v>85</v>
      </c>
      <c r="B86" s="11"/>
      <c r="C86" s="12"/>
      <c r="D86" s="13"/>
      <c r="E86" s="13"/>
      <c r="F86" s="13"/>
      <c r="G86" s="14">
        <f>E86*F86</f>
        <v>0</v>
      </c>
      <c r="H86" s="11"/>
      <c r="I86" s="13"/>
      <c r="J86" s="11"/>
      <c r="K86" s="15"/>
      <c r="L86" s="13"/>
      <c r="M86" s="17"/>
      <c r="N86" s="13"/>
    </row>
    <row r="87" spans="1:14" ht="12.75" hidden="1">
      <c r="A87" s="10">
        <v>86</v>
      </c>
      <c r="B87" s="11"/>
      <c r="C87" s="12"/>
      <c r="D87" s="13"/>
      <c r="E87" s="13"/>
      <c r="F87" s="13"/>
      <c r="G87" s="14">
        <f>E87*F87</f>
        <v>0</v>
      </c>
      <c r="H87" s="11"/>
      <c r="I87" s="13"/>
      <c r="J87" s="11"/>
      <c r="K87" s="15"/>
      <c r="L87" s="13"/>
      <c r="M87" s="17"/>
      <c r="N87" s="13"/>
    </row>
    <row r="88" spans="1:14" ht="12.75" hidden="1">
      <c r="A88" s="11">
        <v>87</v>
      </c>
      <c r="B88" s="11"/>
      <c r="C88" s="12"/>
      <c r="D88" s="13"/>
      <c r="E88" s="13"/>
      <c r="F88" s="13"/>
      <c r="G88" s="14">
        <f>E88*F88</f>
        <v>0</v>
      </c>
      <c r="H88" s="11"/>
      <c r="I88" s="13"/>
      <c r="J88" s="11"/>
      <c r="K88" s="15"/>
      <c r="L88" s="13"/>
      <c r="M88" s="17"/>
      <c r="N88" s="13"/>
    </row>
    <row r="89" spans="1:14" ht="12.75" hidden="1">
      <c r="A89" s="11">
        <v>88</v>
      </c>
      <c r="B89" s="11"/>
      <c r="C89" s="12"/>
      <c r="D89" s="13"/>
      <c r="E89" s="13"/>
      <c r="F89" s="13"/>
      <c r="G89" s="14">
        <f>E89*F89</f>
        <v>0</v>
      </c>
      <c r="H89" s="11"/>
      <c r="I89" s="13"/>
      <c r="J89" s="11"/>
      <c r="K89" s="15"/>
      <c r="L89" s="13"/>
      <c r="M89" s="17"/>
      <c r="N89" s="13"/>
    </row>
    <row r="90" spans="1:14" ht="12.75" hidden="1">
      <c r="A90" s="11">
        <v>89</v>
      </c>
      <c r="B90" s="11"/>
      <c r="C90" s="12"/>
      <c r="D90" s="13"/>
      <c r="E90" s="13"/>
      <c r="F90" s="13"/>
      <c r="G90" s="14">
        <f>E90*F90</f>
        <v>0</v>
      </c>
      <c r="H90" s="11"/>
      <c r="I90" s="13"/>
      <c r="J90" s="11"/>
      <c r="K90" s="15"/>
      <c r="L90" s="13"/>
      <c r="M90" s="17"/>
      <c r="N90" s="13"/>
    </row>
    <row r="91" spans="1:14" ht="12.75" hidden="1">
      <c r="A91" s="11">
        <v>90</v>
      </c>
      <c r="B91" s="11"/>
      <c r="C91" s="12"/>
      <c r="D91" s="13"/>
      <c r="E91" s="13"/>
      <c r="F91" s="13"/>
      <c r="G91" s="14">
        <f>E91*F91</f>
        <v>0</v>
      </c>
      <c r="H91" s="11"/>
      <c r="I91" s="13"/>
      <c r="J91" s="11"/>
      <c r="K91" s="15"/>
      <c r="L91" s="13"/>
      <c r="M91" s="17"/>
      <c r="N91" s="13"/>
    </row>
    <row r="92" spans="1:14" ht="12.75" hidden="1">
      <c r="A92" s="11">
        <v>91</v>
      </c>
      <c r="B92" s="11"/>
      <c r="C92" s="12"/>
      <c r="D92" s="13"/>
      <c r="E92" s="13"/>
      <c r="F92" s="13"/>
      <c r="G92" s="14">
        <f>E92*F92</f>
        <v>0</v>
      </c>
      <c r="H92" s="11"/>
      <c r="I92" s="13"/>
      <c r="J92" s="11"/>
      <c r="K92" s="15"/>
      <c r="L92" s="13"/>
      <c r="M92" s="17"/>
      <c r="N92" s="13"/>
    </row>
    <row r="93" spans="1:14" ht="12.75" hidden="1">
      <c r="A93" s="11">
        <v>92</v>
      </c>
      <c r="B93" s="11"/>
      <c r="C93" s="12"/>
      <c r="D93" s="13"/>
      <c r="E93" s="13"/>
      <c r="F93" s="13"/>
      <c r="G93" s="14">
        <f>E93*F93</f>
        <v>0</v>
      </c>
      <c r="H93" s="11"/>
      <c r="I93" s="13"/>
      <c r="J93" s="11"/>
      <c r="K93" s="15"/>
      <c r="L93" s="13"/>
      <c r="M93" s="17"/>
      <c r="N93" s="13"/>
    </row>
    <row r="94" spans="1:14" ht="12.75" hidden="1">
      <c r="A94" s="10">
        <v>93</v>
      </c>
      <c r="B94" s="11"/>
      <c r="C94" s="12"/>
      <c r="D94" s="13"/>
      <c r="E94" s="13"/>
      <c r="F94" s="13"/>
      <c r="G94" s="14">
        <f>E94*F94</f>
        <v>0</v>
      </c>
      <c r="H94" s="11"/>
      <c r="I94" s="13"/>
      <c r="J94" s="11"/>
      <c r="K94" s="15"/>
      <c r="L94" s="13"/>
      <c r="M94" s="17"/>
      <c r="N94" s="13"/>
    </row>
    <row r="95" spans="1:14" ht="12.75" hidden="1">
      <c r="A95" s="11">
        <v>94</v>
      </c>
      <c r="B95" s="11"/>
      <c r="C95" s="12"/>
      <c r="D95" s="13"/>
      <c r="E95" s="13"/>
      <c r="F95" s="13"/>
      <c r="G95" s="14">
        <f>E95*F95</f>
        <v>0</v>
      </c>
      <c r="H95" s="11"/>
      <c r="I95" s="13"/>
      <c r="J95" s="11"/>
      <c r="K95" s="15"/>
      <c r="L95" s="13"/>
      <c r="M95" s="17"/>
      <c r="N95" s="13"/>
    </row>
    <row r="96" spans="1:14" ht="12.75" hidden="1">
      <c r="A96" s="11">
        <v>95</v>
      </c>
      <c r="B96" s="11"/>
      <c r="C96" s="12"/>
      <c r="D96" s="13"/>
      <c r="E96" s="13"/>
      <c r="F96" s="13"/>
      <c r="G96" s="14">
        <f>E96*F96</f>
        <v>0</v>
      </c>
      <c r="H96" s="11"/>
      <c r="I96" s="13"/>
      <c r="J96" s="11"/>
      <c r="K96" s="15"/>
      <c r="L96" s="13"/>
      <c r="M96" s="17"/>
      <c r="N96" s="13"/>
    </row>
    <row r="97" spans="1:14" ht="12.75" hidden="1">
      <c r="A97" s="11">
        <v>96</v>
      </c>
      <c r="B97" s="11"/>
      <c r="C97" s="12"/>
      <c r="D97" s="13"/>
      <c r="E97" s="13"/>
      <c r="F97" s="13"/>
      <c r="G97" s="14">
        <f>E97*F97</f>
        <v>0</v>
      </c>
      <c r="H97" s="11"/>
      <c r="I97" s="13"/>
      <c r="J97" s="11"/>
      <c r="K97" s="15"/>
      <c r="L97" s="13"/>
      <c r="M97" s="17"/>
      <c r="N97" s="13"/>
    </row>
    <row r="98" spans="1:14" ht="12.75" hidden="1">
      <c r="A98" s="11">
        <v>97</v>
      </c>
      <c r="B98" s="11"/>
      <c r="C98" s="12"/>
      <c r="D98" s="13"/>
      <c r="E98" s="13"/>
      <c r="F98" s="13"/>
      <c r="G98" s="14">
        <f>E98*F98</f>
        <v>0</v>
      </c>
      <c r="H98" s="11"/>
      <c r="I98" s="13"/>
      <c r="J98" s="11"/>
      <c r="K98" s="15"/>
      <c r="L98" s="13"/>
      <c r="M98" s="17"/>
      <c r="N98" s="13"/>
    </row>
    <row r="99" spans="1:14" ht="12.75" hidden="1">
      <c r="A99" s="11">
        <v>98</v>
      </c>
      <c r="B99" s="11"/>
      <c r="C99" s="12"/>
      <c r="D99" s="13"/>
      <c r="E99" s="13"/>
      <c r="F99" s="13"/>
      <c r="G99" s="14">
        <f>E99*F99</f>
        <v>0</v>
      </c>
      <c r="H99" s="11"/>
      <c r="I99" s="13"/>
      <c r="J99" s="11"/>
      <c r="K99" s="15"/>
      <c r="L99" s="13"/>
      <c r="M99" s="17"/>
      <c r="N99" s="13"/>
    </row>
    <row r="100" spans="1:14" ht="12.75" hidden="1">
      <c r="A100" s="11">
        <v>99</v>
      </c>
      <c r="B100" s="11"/>
      <c r="C100" s="12"/>
      <c r="D100" s="13"/>
      <c r="E100" s="13"/>
      <c r="F100" s="13"/>
      <c r="G100" s="14">
        <f>E100*F100</f>
        <v>0</v>
      </c>
      <c r="H100" s="11"/>
      <c r="I100" s="13"/>
      <c r="J100" s="11"/>
      <c r="K100" s="15"/>
      <c r="L100" s="13"/>
      <c r="M100" s="17"/>
      <c r="N100" s="13"/>
    </row>
    <row r="101" spans="1:14" ht="12.75" hidden="1">
      <c r="A101" s="31">
        <v>100</v>
      </c>
      <c r="B101" s="32"/>
      <c r="C101" s="33"/>
      <c r="D101" s="34"/>
      <c r="E101" s="34"/>
      <c r="F101" s="34"/>
      <c r="G101" s="35">
        <f>E101*F101</f>
        <v>0</v>
      </c>
      <c r="H101" s="32"/>
      <c r="I101" s="34"/>
      <c r="J101" s="32"/>
      <c r="K101" s="19"/>
      <c r="L101" s="34"/>
      <c r="M101" s="21"/>
      <c r="N101" s="34"/>
    </row>
    <row r="102" spans="1:14" ht="12.75">
      <c r="A102" s="13"/>
      <c r="B102" s="13"/>
      <c r="C102" s="12"/>
      <c r="D102" s="34"/>
      <c r="E102" s="34"/>
      <c r="F102" s="34"/>
      <c r="G102" s="34"/>
      <c r="H102" s="34"/>
      <c r="I102" s="34"/>
      <c r="J102" s="34"/>
      <c r="K102" s="19"/>
      <c r="L102" s="34"/>
      <c r="M102" s="34"/>
      <c r="N102" s="34"/>
    </row>
    <row r="103" spans="1:14" ht="12.75">
      <c r="C103" s="18"/>
      <c r="D103" s="12"/>
      <c r="E103" s="13"/>
      <c r="F103" s="13"/>
      <c r="G103" s="13"/>
      <c r="H103" s="13"/>
      <c r="I103" s="13"/>
      <c r="J103" s="13"/>
      <c r="K103" s="15"/>
      <c r="L103" s="13"/>
      <c r="M103" s="13"/>
      <c r="N103" s="13"/>
    </row>
  </sheetData>
  <autoFilter ref="A1:Z101" xr:uid="{00000000-0001-0000-0000-000000000000}">
    <filterColumn colId="7">
      <filters>
        <filter val="In Progress"/>
      </filters>
    </filterColumn>
    <sortState xmlns:xlrd2="http://schemas.microsoft.com/office/spreadsheetml/2017/richdata2" ref="A2:Z101">
      <sortCondition ref="N1:N101"/>
    </sortState>
  </autoFilter>
  <hyperlinks>
    <hyperlink ref="J14" r:id="rId1" display="https://oncologyanalyticsinc-my.sharepoint.com/:w:/r/personal/jhall_oncologyanalytics_com/_layouts/15/Doc.aspx?sourcedoc=%7B447717B2-BE52-4C47-AE81-AD9FCC38A4A6%7D&amp;file=Automapper%20or%20No.docx&amp;action=default&amp;mobileredirect=true&amp;DefaultItemOpen=1&amp;wdOrigin=WAC.WORD.HOME-BUTTON%2CAPPHOME-WEB.FILEBROWSER.RECENT&amp;wdPreviousSession=ebc71ebf-660e-45eb-a477-b52e302885d9&amp;wdPreviousSessionSrc=AppHomeWeb&amp;ct=1769183354671" xr:uid="{4538ABC9-487B-4F26-B2E6-EB005E194DA6}"/>
    <hyperlink ref="I20" r:id="rId2" xr:uid="{3CE0B1D6-148B-48AF-BF32-D0DEE37B825C}"/>
    <hyperlink ref="I41" r:id="rId3" xr:uid="{8E24C642-3972-4317-B719-3015D4520588}"/>
    <hyperlink ref="I42" r:id="rId4" xr:uid="{C78EB14B-E6C0-4F93-93AD-6CCAC77E93F0}"/>
    <hyperlink ref="I43" r:id="rId5" xr:uid="{5197C272-CF70-467C-A214-BBDD4981881C}"/>
    <hyperlink ref="I44" r:id="rId6" xr:uid="{25E67BA4-6572-4CED-ABB6-7789F15B08BD}"/>
    <hyperlink ref="I45" r:id="rId7" xr:uid="{FAC7063D-B680-44E5-831C-3610823A73A0}"/>
    <hyperlink ref="I46" r:id="rId8" xr:uid="{7D40AE2B-38AA-46B0-B52C-6CD6E05D4AA2}"/>
    <hyperlink ref="I47" r:id="rId9" xr:uid="{F772FA5F-0773-4E5F-81FF-855B82651035}"/>
    <hyperlink ref="I48" r:id="rId10" xr:uid="{D9ECB439-CEE2-42B0-BCDF-21D2188CB724}"/>
    <hyperlink ref="I49" r:id="rId11" xr:uid="{18E8CE66-BF04-440F-949C-06178D16FAD3}"/>
    <hyperlink ref="I50" r:id="rId12" xr:uid="{07A19021-8D16-4AEC-B9AF-F28A5A9A8317}"/>
  </hyperlinks>
  <pageMargins left="0" right="0" top="0" bottom="0" header="0" footer="0"/>
  <legacyDrawing r:id="rId13"/>
  <extLst>
    <ext xmlns:x14="http://schemas.microsoft.com/office/spreadsheetml/2009/9/main" uri="{CCE6A557-97BC-4b89-ADB6-D9C93CAAB3DF}">
      <x14:dataValidations xmlns:xm="http://schemas.microsoft.com/office/excel/2006/main" count="3">
        <x14:dataValidation type="list" allowBlank="1" showErrorMessage="1" xr:uid="{00000000-0002-0000-0000-000000000000}">
          <x14:formula1>
            <xm:f>Definitions!$B$40:$B$43</xm:f>
          </x14:formula1>
          <xm:sqref>B2:B38 B41:B101</xm:sqref>
        </x14:dataValidation>
        <x14:dataValidation type="list" allowBlank="1" showErrorMessage="1" xr:uid="{00000000-0002-0000-0000-000001000000}">
          <x14:formula1>
            <xm:f>Definitions!$B$28:$B$31</xm:f>
          </x14:formula1>
          <xm:sqref>H2:H38 H41:H101</xm:sqref>
        </x14:dataValidation>
        <x14:dataValidation type="list" allowBlank="1" showErrorMessage="1" xr:uid="{00000000-0002-0000-0000-000002000000}">
          <x14:formula1>
            <xm:f>Definitions!$B$34:$B$37</xm:f>
          </x14:formula1>
          <xm:sqref>J21:J38 J7:J19 I6 J2:J5 J41:J101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B6713-CBE6-4FBA-8E4A-DA3860F1F86C}">
  <dimension ref="A1:I7"/>
  <sheetViews>
    <sheetView workbookViewId="0">
      <selection activeCell="E3" sqref="E3"/>
    </sheetView>
  </sheetViews>
  <sheetFormatPr defaultRowHeight="12.75"/>
  <cols>
    <col min="1" max="1" width="18.28515625" style="23" bestFit="1" customWidth="1"/>
    <col min="2" max="2" width="17" style="23" customWidth="1"/>
    <col min="3" max="3" width="23.140625" style="23" customWidth="1"/>
    <col min="4" max="4" width="17.42578125" style="24" bestFit="1" customWidth="1"/>
    <col min="5" max="5" width="18.7109375" style="24" bestFit="1" customWidth="1"/>
    <col min="6" max="6" width="17.85546875" bestFit="1" customWidth="1"/>
    <col min="7" max="7" width="16.7109375" style="30" bestFit="1" customWidth="1"/>
    <col min="8" max="8" width="16.7109375" style="25" customWidth="1"/>
    <col min="9" max="9" width="12.85546875" style="7" customWidth="1"/>
  </cols>
  <sheetData>
    <row r="1" spans="1:9">
      <c r="A1" s="23" t="s">
        <v>161</v>
      </c>
      <c r="B1" s="23" t="s">
        <v>2</v>
      </c>
      <c r="C1" s="23" t="s">
        <v>162</v>
      </c>
      <c r="D1" s="24" t="s">
        <v>163</v>
      </c>
      <c r="E1" s="24" t="s">
        <v>164</v>
      </c>
      <c r="F1" t="s">
        <v>165</v>
      </c>
      <c r="G1" s="30" t="s">
        <v>166</v>
      </c>
      <c r="H1" s="25" t="s">
        <v>11</v>
      </c>
      <c r="I1" s="7" t="s">
        <v>167</v>
      </c>
    </row>
    <row r="2" spans="1:9" s="27" customFormat="1" ht="24">
      <c r="A2" s="26" t="s">
        <v>168</v>
      </c>
      <c r="B2" s="26" t="s">
        <v>169</v>
      </c>
      <c r="C2" s="29" t="s">
        <v>170</v>
      </c>
      <c r="D2" s="25" t="s">
        <v>68</v>
      </c>
      <c r="E2" s="25" t="s">
        <v>171</v>
      </c>
      <c r="F2" s="25" t="s">
        <v>172</v>
      </c>
      <c r="G2" s="30">
        <v>46090</v>
      </c>
      <c r="H2" s="25" t="s">
        <v>46</v>
      </c>
      <c r="I2" s="28" t="s">
        <v>173</v>
      </c>
    </row>
    <row r="3" spans="1:9">
      <c r="F3" s="24"/>
    </row>
    <row r="4" spans="1:9">
      <c r="F4" s="24"/>
    </row>
    <row r="5" spans="1:9">
      <c r="F5" s="24"/>
    </row>
    <row r="6" spans="1:9">
      <c r="F6" s="24"/>
    </row>
    <row r="7" spans="1:9">
      <c r="F7" s="24"/>
    </row>
  </sheetData>
  <dataValidations count="1">
    <dataValidation type="list" allowBlank="1" showInputMessage="1" showErrorMessage="1" sqref="F1:F1048576" xr:uid="{C8C3E173-4FFC-4491-8D9A-6BAD49F142B5}">
      <formula1>"Pending, Approved, Rejected, Needs Revision"</formula1>
    </dataValidation>
  </dataValidations>
  <hyperlinks>
    <hyperlink ref="I2" r:id="rId1" display="User_Testing_Log" xr:uid="{706DFD17-B3BF-42E1-B1E6-7764CA6F9E50}"/>
    <hyperlink ref="C2" r:id="rId2" xr:uid="{4FAFF9DF-31B8-4A8A-9EB6-FFD6D899873D}"/>
  </hyperlinks>
  <pageMargins left="0.7" right="0.7" top="0.75" bottom="0.75" header="0.3" footer="0.3"/>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45"/>
  <sheetViews>
    <sheetView workbookViewId="0">
      <selection activeCell="C45" sqref="C45"/>
    </sheetView>
  </sheetViews>
  <sheetFormatPr defaultColWidth="12.5703125" defaultRowHeight="15.75" customHeight="1"/>
  <cols>
    <col min="2" max="2" width="16.5703125" customWidth="1"/>
    <col min="3" max="3" width="54.28515625" customWidth="1"/>
  </cols>
  <sheetData>
    <row r="1" spans="1:3" ht="12.75">
      <c r="A1" s="3" t="s">
        <v>174</v>
      </c>
    </row>
    <row r="2" spans="1:3" ht="12.75">
      <c r="A2" s="4"/>
    </row>
    <row r="3" spans="1:3" ht="12.75">
      <c r="A3" s="4" t="s">
        <v>175</v>
      </c>
    </row>
    <row r="4" spans="1:3" ht="12.75">
      <c r="A4" s="3" t="s">
        <v>176</v>
      </c>
      <c r="B4" s="3" t="s">
        <v>177</v>
      </c>
      <c r="C4" s="3" t="s">
        <v>2</v>
      </c>
    </row>
    <row r="5" spans="1:3" ht="12.75">
      <c r="A5" s="3">
        <v>5</v>
      </c>
      <c r="B5" s="3" t="s">
        <v>178</v>
      </c>
      <c r="C5" s="3" t="s">
        <v>179</v>
      </c>
    </row>
    <row r="6" spans="1:3" ht="12.75">
      <c r="A6" s="3">
        <v>4</v>
      </c>
      <c r="B6" s="3" t="s">
        <v>180</v>
      </c>
      <c r="C6" s="3" t="s">
        <v>181</v>
      </c>
    </row>
    <row r="7" spans="1:3" ht="12.75">
      <c r="A7" s="3">
        <v>3</v>
      </c>
      <c r="B7" s="3" t="s">
        <v>182</v>
      </c>
      <c r="C7" s="3" t="s">
        <v>183</v>
      </c>
    </row>
    <row r="8" spans="1:3" ht="12.75">
      <c r="A8" s="3">
        <v>2</v>
      </c>
      <c r="B8" s="3" t="s">
        <v>184</v>
      </c>
      <c r="C8" s="3" t="s">
        <v>185</v>
      </c>
    </row>
    <row r="9" spans="1:3" ht="12.75">
      <c r="A9" s="3">
        <v>1</v>
      </c>
      <c r="B9" s="3" t="s">
        <v>186</v>
      </c>
      <c r="C9" s="3" t="s">
        <v>187</v>
      </c>
    </row>
    <row r="12" spans="1:3" ht="12.75">
      <c r="A12" s="4" t="s">
        <v>188</v>
      </c>
    </row>
    <row r="13" spans="1:3" ht="12.75">
      <c r="A13" s="3" t="s">
        <v>176</v>
      </c>
      <c r="B13" s="3" t="s">
        <v>177</v>
      </c>
      <c r="C13" s="3" t="s">
        <v>2</v>
      </c>
    </row>
    <row r="14" spans="1:3" ht="12.75">
      <c r="A14" s="3">
        <v>5</v>
      </c>
      <c r="B14" s="3" t="s">
        <v>189</v>
      </c>
      <c r="C14" s="3" t="s">
        <v>190</v>
      </c>
    </row>
    <row r="15" spans="1:3" ht="12.75">
      <c r="A15" s="3">
        <v>4</v>
      </c>
      <c r="B15" s="3" t="s">
        <v>191</v>
      </c>
      <c r="C15" s="3" t="s">
        <v>192</v>
      </c>
    </row>
    <row r="16" spans="1:3" ht="12.75">
      <c r="A16" s="3">
        <v>3</v>
      </c>
      <c r="B16" s="3" t="s">
        <v>193</v>
      </c>
      <c r="C16" s="3" t="s">
        <v>194</v>
      </c>
    </row>
    <row r="17" spans="1:3" ht="12.75">
      <c r="A17" s="3">
        <v>2</v>
      </c>
      <c r="B17" s="3" t="s">
        <v>195</v>
      </c>
      <c r="C17" s="3" t="s">
        <v>196</v>
      </c>
    </row>
    <row r="18" spans="1:3" ht="12.75">
      <c r="A18" s="3">
        <v>1</v>
      </c>
      <c r="B18" s="3" t="s">
        <v>197</v>
      </c>
      <c r="C18" s="3" t="s">
        <v>198</v>
      </c>
    </row>
    <row r="21" spans="1:3" ht="12.75">
      <c r="A21" s="3" t="s">
        <v>6</v>
      </c>
      <c r="B21" s="3"/>
      <c r="C21" s="3"/>
    </row>
    <row r="22" spans="1:3" ht="12.75">
      <c r="A22" s="3" t="s">
        <v>199</v>
      </c>
      <c r="B22" s="3" t="s">
        <v>200</v>
      </c>
      <c r="C22" s="3" t="s">
        <v>201</v>
      </c>
    </row>
    <row r="23" spans="1:3" ht="12.75">
      <c r="A23" s="3" t="s">
        <v>202</v>
      </c>
      <c r="B23" s="3" t="s">
        <v>184</v>
      </c>
      <c r="C23" s="3" t="s">
        <v>203</v>
      </c>
    </row>
    <row r="24" spans="1:3" ht="12.75">
      <c r="A24" s="3" t="s">
        <v>204</v>
      </c>
      <c r="B24" s="3" t="s">
        <v>182</v>
      </c>
      <c r="C24" s="3" t="s">
        <v>205</v>
      </c>
    </row>
    <row r="25" spans="1:3" ht="12.75">
      <c r="A25" s="3" t="s">
        <v>206</v>
      </c>
      <c r="B25" s="3" t="s">
        <v>180</v>
      </c>
      <c r="C25" s="3" t="s">
        <v>207</v>
      </c>
    </row>
    <row r="27" spans="1:3" ht="12.75">
      <c r="A27" s="2" t="s">
        <v>7</v>
      </c>
    </row>
    <row r="28" spans="1:3" ht="12.75">
      <c r="B28" s="2" t="s">
        <v>78</v>
      </c>
    </row>
    <row r="29" spans="1:3" ht="12.75">
      <c r="B29" s="2" t="s">
        <v>27</v>
      </c>
    </row>
    <row r="30" spans="1:3" ht="12.75">
      <c r="B30" s="2" t="s">
        <v>104</v>
      </c>
    </row>
    <row r="31" spans="1:3" ht="12.75">
      <c r="B31" s="2" t="s">
        <v>17</v>
      </c>
    </row>
    <row r="32" spans="1:3" ht="18">
      <c r="A32" s="5"/>
    </row>
    <row r="33" spans="1:3" ht="12.75">
      <c r="A33" s="2" t="s">
        <v>208</v>
      </c>
    </row>
    <row r="34" spans="1:3" ht="12.75">
      <c r="B34" s="3" t="s">
        <v>209</v>
      </c>
      <c r="C34" s="2" t="s">
        <v>210</v>
      </c>
    </row>
    <row r="35" spans="1:3" ht="12.75">
      <c r="B35" s="3" t="s">
        <v>19</v>
      </c>
      <c r="C35" s="2" t="s">
        <v>211</v>
      </c>
    </row>
    <row r="36" spans="1:3" ht="12.75">
      <c r="B36" s="3" t="s">
        <v>212</v>
      </c>
      <c r="C36" s="2" t="s">
        <v>213</v>
      </c>
    </row>
    <row r="37" spans="1:3" ht="12.75">
      <c r="B37" s="3" t="s">
        <v>214</v>
      </c>
      <c r="C37" s="2" t="s">
        <v>215</v>
      </c>
    </row>
    <row r="40" spans="1:3" ht="12.75">
      <c r="A40" s="2" t="s">
        <v>1</v>
      </c>
      <c r="B40" s="2" t="s">
        <v>14</v>
      </c>
      <c r="C40" t="s">
        <v>216</v>
      </c>
    </row>
    <row r="41" spans="1:3" ht="12.75">
      <c r="B41" s="2" t="s">
        <v>76</v>
      </c>
    </row>
    <row r="42" spans="1:3" ht="12.75">
      <c r="B42" s="2" t="s">
        <v>121</v>
      </c>
      <c r="C42" t="s">
        <v>217</v>
      </c>
    </row>
    <row r="43" spans="1:3" ht="12.75">
      <c r="B43" s="2" t="s">
        <v>37</v>
      </c>
      <c r="C43" t="s">
        <v>218</v>
      </c>
    </row>
    <row r="45" spans="1:3" ht="15.75" customHeight="1">
      <c r="B45" t="s">
        <v>219</v>
      </c>
      <c r="C45" t="s">
        <v>220</v>
      </c>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CD35C65F4987042AD497B5B80201A90" ma:contentTypeVersion="12" ma:contentTypeDescription="Create a new document." ma:contentTypeScope="" ma:versionID="eac730192978ca5282e4523680b70cf8">
  <xsd:schema xmlns:xsd="http://www.w3.org/2001/XMLSchema" xmlns:xs="http://www.w3.org/2001/XMLSchema" xmlns:p="http://schemas.microsoft.com/office/2006/metadata/properties" xmlns:ns2="206edb74-3ff7-4b25-857f-69b348d925d7" xmlns:ns3="bed18d5e-33f9-4971-ad53-d046bc7af0c3" targetNamespace="http://schemas.microsoft.com/office/2006/metadata/properties" ma:root="true" ma:fieldsID="0a09e63b3e2c946762787fd09a727543" ns2:_="" ns3:_="">
    <xsd:import namespace="206edb74-3ff7-4b25-857f-69b348d925d7"/>
    <xsd:import namespace="bed18d5e-33f9-4971-ad53-d046bc7af0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Document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edb74-3ff7-4b25-857f-69b348d925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7b73a40-767e-4aae-87a8-471fb807377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DocumentNotes" ma:index="18" nillable="true" ma:displayName="Document Notes" ma:format="Dropdown" ma:internalName="DocumentNotes">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ed18d5e-33f9-4971-ad53-d046bc7af0c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a93d301-62ab-4952-bdbc-3f51114e151d}" ma:internalName="TaxCatchAll" ma:showField="CatchAllData" ma:web="bed18d5e-33f9-4971-ad53-d046bc7af0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ed18d5e-33f9-4971-ad53-d046bc7af0c3" xsi:nil="true"/>
    <lcf76f155ced4ddcb4097134ff3c332f xmlns="206edb74-3ff7-4b25-857f-69b348d925d7">
      <Terms xmlns="http://schemas.microsoft.com/office/infopath/2007/PartnerControls"/>
    </lcf76f155ced4ddcb4097134ff3c332f>
    <DocumentNotes xmlns="206edb74-3ff7-4b25-857f-69b348d925d7">NewUM project RAID log</DocumentNotes>
  </documentManagement>
</p:properties>
</file>

<file path=customXml/itemProps1.xml><?xml version="1.0" encoding="utf-8"?>
<ds:datastoreItem xmlns:ds="http://schemas.openxmlformats.org/officeDocument/2006/customXml" ds:itemID="{47DE8F1B-E19C-485B-8A8C-89B734B741BC}"/>
</file>

<file path=customXml/itemProps2.xml><?xml version="1.0" encoding="utf-8"?>
<ds:datastoreItem xmlns:ds="http://schemas.openxmlformats.org/officeDocument/2006/customXml" ds:itemID="{48C3B5B6-14EB-4E98-8EBE-710F1EAD96A1}"/>
</file>

<file path=customXml/itemProps3.xml><?xml version="1.0" encoding="utf-8"?>
<ds:datastoreItem xmlns:ds="http://schemas.openxmlformats.org/officeDocument/2006/customXml" ds:itemID="{AA6E073D-DE16-4674-8469-A47106043DB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Alyssa Gessleman</cp:lastModifiedBy>
  <cp:revision/>
  <dcterms:created xsi:type="dcterms:W3CDTF">2026-01-02T19:23:29Z</dcterms:created>
  <dcterms:modified xsi:type="dcterms:W3CDTF">2026-04-17T15:05:41Z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0x010100ECD35C65F4987042AD497B5B80201A90</vt:lpwstr>
  </property>
  <property fmtid="{D5CDD505-2E9C-101B-9397-08002B2CF9AE}" pid="3" name="MediaServiceImageTags">
    <vt:lpwstr/>
  </property>
</Properties>
</file>